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afaela\Downloads\"/>
    </mc:Choice>
  </mc:AlternateContent>
  <bookViews>
    <workbookView xWindow="0" yWindow="0" windowWidth="19470" windowHeight="2760" firstSheet="3" activeTab="3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52511"/>
  <pivotCaches>
    <pivotCache cacheId="5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3" l="1"/>
  <c r="E16" i="3"/>
</calcChain>
</file>

<file path=xl/sharedStrings.xml><?xml version="1.0" encoding="utf-8"?>
<sst xmlns="http://schemas.openxmlformats.org/spreadsheetml/2006/main" count="2017" uniqueCount="319">
  <si>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</si>
  <si>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</si>
  <si>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</si>
  <si>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</si>
  <si>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</si>
  <si>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</si>
  <si>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</si>
  <si>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</si>
  <si>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</si>
  <si>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</si>
  <si>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</si>
  <si>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</si>
  <si>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</si>
  <si>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</si>
  <si>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</si>
  <si>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</si>
  <si>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</si>
  <si>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</si>
  <si>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</si>
  <si>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</si>
  <si>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</si>
  <si>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</si>
  <si>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</si>
  <si>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</si>
  <si>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</si>
  <si>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</si>
  <si>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</si>
  <si>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</si>
  <si>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</si>
  <si>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</si>
  <si>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</si>
  <si>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</si>
  <si>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</si>
  <si>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</si>
  <si>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</si>
  <si>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</si>
  <si>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</si>
  <si>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</si>
  <si>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</si>
  <si>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</si>
  <si>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</si>
  <si>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</si>
  <si>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</si>
  <si>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</si>
  <si>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</si>
  <si>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</si>
  <si>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</si>
  <si>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</si>
  <si>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</si>
  <si>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</si>
  <si>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</si>
  <si>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</si>
  <si>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</si>
  <si>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</si>
  <si>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</si>
  <si>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</si>
  <si>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</si>
  <si>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</si>
  <si>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</si>
  <si>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</si>
  <si>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</si>
  <si>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</si>
  <si>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</si>
  <si>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</si>
  <si>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</si>
  <si>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</si>
  <si>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</si>
  <si>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</si>
  <si>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</si>
  <si>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</si>
  <si>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</si>
  <si>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</si>
  <si>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</si>
  <si>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</si>
  <si>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</si>
  <si>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</si>
  <si>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</si>
  <si>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</si>
  <si>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</si>
  <si>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</si>
  <si>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</si>
  <si>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</si>
  <si>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</si>
  <si>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</si>
  <si>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</si>
  <si>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</si>
  <si>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</si>
  <si>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</si>
  <si>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</si>
  <si>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</si>
  <si>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</si>
  <si>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</si>
  <si>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</si>
  <si>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</si>
  <si>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</si>
  <si>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</si>
  <si>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</si>
  <si>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</si>
  <si>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</si>
  <si>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</si>
  <si>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</si>
  <si>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</si>
  <si>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</si>
  <si>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</si>
  <si>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</si>
  <si>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</si>
  <si>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</si>
  <si>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</si>
  <si>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</si>
  <si>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</si>
  <si>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</si>
  <si>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</si>
  <si>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</si>
  <si>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</si>
  <si>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</si>
  <si>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</si>
  <si>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</si>
  <si>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</si>
  <si>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</si>
  <si>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</si>
  <si>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</si>
  <si>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</si>
  <si>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</si>
  <si>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</si>
  <si>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</si>
  <si>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</si>
  <si>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</si>
  <si>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</si>
  <si>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</si>
  <si>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</si>
  <si>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</si>
  <si>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</si>
  <si>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</si>
  <si>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</si>
  <si>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</si>
  <si>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</si>
  <si>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</si>
  <si>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</si>
  <si>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</si>
  <si>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</si>
  <si>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</si>
  <si>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</si>
  <si>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</si>
  <si>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</si>
  <si>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</si>
  <si>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</si>
  <si>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</si>
  <si>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</si>
  <si>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</si>
  <si>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</si>
  <si>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</si>
  <si>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</si>
  <si>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</si>
  <si>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</si>
  <si>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</si>
  <si>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</si>
  <si>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</si>
  <si>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</si>
  <si>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</si>
  <si>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</si>
  <si>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</si>
  <si>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</si>
  <si>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</si>
  <si>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</si>
  <si>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</si>
  <si>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</si>
  <si>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</si>
  <si>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</si>
  <si>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</si>
  <si>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</si>
  <si>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</si>
  <si>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</si>
  <si>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</si>
  <si>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</si>
  <si>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</si>
  <si>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</si>
  <si>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</si>
  <si>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</si>
  <si>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</si>
  <si>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</si>
  <si>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</si>
  <si>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</si>
  <si>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</si>
  <si>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</si>
  <si>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</si>
  <si>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</si>
  <si>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</si>
  <si>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</si>
  <si>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</si>
  <si>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</si>
  <si>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</si>
  <si>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</si>
  <si>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</si>
  <si>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</si>
  <si>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</si>
  <si>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</si>
  <si>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</si>
  <si>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</si>
  <si>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</si>
  <si>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</si>
  <si>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</si>
  <si>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</si>
  <si>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</si>
  <si>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</si>
  <si>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</si>
  <si>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</si>
  <si>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</si>
  <si>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</si>
  <si>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</si>
  <si>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</si>
  <si>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</si>
  <si>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</si>
  <si>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</si>
  <si>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</si>
  <si>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</si>
  <si>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</si>
  <si>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</si>
  <si>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</si>
  <si>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</si>
  <si>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</si>
  <si>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</si>
  <si>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</si>
  <si>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</si>
  <si>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</si>
  <si>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</si>
  <si>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</si>
  <si>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</si>
  <si>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</si>
  <si>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</si>
  <si>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</si>
  <si>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</si>
  <si>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</si>
  <si>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</si>
  <si>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</si>
  <si>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</si>
  <si>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</si>
  <si>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</si>
  <si>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</si>
  <si>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</si>
  <si>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</si>
  <si>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</si>
  <si>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</si>
  <si>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</si>
  <si>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</si>
  <si>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</si>
  <si>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</si>
  <si>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</si>
  <si>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</si>
  <si>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</si>
  <si>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</si>
  <si>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</si>
  <si>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</si>
  <si>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</si>
  <si>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</si>
  <si>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</si>
  <si>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</si>
  <si>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</si>
  <si>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</si>
  <si>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</si>
  <si>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</si>
  <si>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</si>
  <si>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</si>
  <si>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</si>
  <si>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</si>
  <si>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</si>
  <si>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</si>
  <si>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</si>
  <si>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</si>
  <si>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</si>
  <si>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</si>
  <si>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</si>
  <si>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</si>
  <si>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</si>
  <si>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</si>
  <si>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</si>
  <si>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</si>
  <si>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</si>
  <si>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</si>
  <si>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</si>
  <si>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</si>
  <si>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</si>
  <si>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</si>
  <si>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</si>
  <si>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</si>
  <si>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</si>
  <si>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</si>
  <si>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</si>
  <si>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</si>
  <si>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</si>
  <si>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</si>
  <si>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</si>
  <si>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</si>
  <si>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</si>
  <si>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</si>
  <si>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</si>
  <si>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</si>
  <si>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</si>
  <si>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</si>
  <si>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</si>
  <si>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</si>
  <si>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</si>
  <si>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</si>
  <si>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</si>
  <si>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</si>
  <si>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</si>
  <si>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</si>
  <si>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</si>
  <si>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</si>
  <si>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</si>
  <si>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</si>
  <si>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</si>
  <si>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</si>
  <si>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</si>
  <si>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Soma de Total Value</t>
  </si>
  <si>
    <t>Rótulos de Linha</t>
  </si>
  <si>
    <t>Total Geral</t>
  </si>
  <si>
    <t>XBOX GAME PASS SUBSCRIPTION SALES</t>
  </si>
  <si>
    <t>Soma de EA Play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</si>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</sst>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5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00B05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00B050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8" borderId="0" xfId="0" applyFill="1"/>
    <xf numFmtId="0" fontId="4" fillId="0" borderId="2" xfId="1" applyFont="1" applyBorder="1"/>
    <xf numFmtId="0" fontId="1" fillId="0" borderId="2" xfId="1" applyBorder="1"/>
    <xf numFmtId="0" fontId="4" fillId="0" borderId="2" xfId="1" applyFont="1" applyBorder="1" applyAlignment="1">
      <alignment horizontal="left" indent="5"/>
    </xf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i val="0"/>
        <color theme="1"/>
      </font>
      <fill>
        <patternFill>
          <bgColor rgb="FFFFFF00"/>
        </patternFill>
      </fill>
      <border>
        <bottom style="thin">
          <color theme="9"/>
        </bottom>
        <vertical/>
        <horizontal/>
      </border>
    </dxf>
    <dxf>
      <font>
        <color theme="1"/>
      </font>
      <fill>
        <patternFill patternType="none">
          <bgColor auto="1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>
      <tableStyleElement type="wholeTable" dxfId="1"/>
      <tableStyleElement type="headerRow" dxfId="0"/>
    </tableStyle>
  </tableStyles>
  <colors>
    <mruColors>
      <color rgb="FF2AE6B1"/>
      <color rgb="FF22C55E"/>
      <color rgb="FFE8E6E9"/>
      <color rgb="FF5BF6A8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excel DIO.xlsx]C̳álculos!Tbl_annual_total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5390720059708379"/>
          <c:y val="0.12397929425488481"/>
          <c:w val="0.84310808705493467"/>
          <c:h val="0.8065762613006707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cat>
            <c:strRef>
              <c:f>C̳álculos!$B$5:$B$7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C̳álculos!$C$5:$C$7</c:f>
              <c:numCache>
                <c:formatCode>General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770779536"/>
        <c:axId val="-770772464"/>
      </c:barChart>
      <c:catAx>
        <c:axId val="-770779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770772464"/>
        <c:crosses val="autoZero"/>
        <c:auto val="1"/>
        <c:lblAlgn val="ctr"/>
        <c:lblOffset val="100"/>
        <c:noMultiLvlLbl val="0"/>
      </c:catAx>
      <c:valAx>
        <c:axId val="-7707724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-770779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6.png"/><Relationship Id="rId1" Type="http://schemas.openxmlformats.org/officeDocument/2006/relationships/image" Target="../media/image2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xmlns="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xmlns="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xmlns="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xmlns="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xmlns="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xmlns="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xmlns="" id="{A71E6AF1-ADEE-EB3B-0380-7B4EF5640C97}"/>
            </a:ext>
          </a:extLst>
        </xdr:cNvPr>
        <xdr:cNvGrpSpPr/>
      </xdr:nvGrpSpPr>
      <xdr:grpSpPr>
        <a:xfrm>
          <a:off x="1133475" y="5172074"/>
          <a:ext cx="1778076" cy="7143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xmlns="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xmlns="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xmlns="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xmlns="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-1</xdr:colOff>
      <xdr:row>0</xdr:row>
      <xdr:rowOff>35719</xdr:rowOff>
    </xdr:from>
    <xdr:to>
      <xdr:col>2</xdr:col>
      <xdr:colOff>607218</xdr:colOff>
      <xdr:row>2</xdr:row>
      <xdr:rowOff>260223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xmlns="" id="{7A6E36A2-663A-A57A-27C3-3BDD1AF9BB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3032"/>
        <a:stretch/>
      </xdr:blipFill>
      <xdr:spPr>
        <a:xfrm>
          <a:off x="1881187" y="35719"/>
          <a:ext cx="881062" cy="9745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116681</xdr:rowOff>
    </xdr:from>
    <xdr:to>
      <xdr:col>0</xdr:col>
      <xdr:colOff>1881186</xdr:colOff>
      <xdr:row>19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569244"/>
              <a:ext cx="1881186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261938</xdr:colOff>
      <xdr:row>5</xdr:row>
      <xdr:rowOff>116681</xdr:rowOff>
    </xdr:from>
    <xdr:to>
      <xdr:col>8</xdr:col>
      <xdr:colOff>369094</xdr:colOff>
      <xdr:row>14</xdr:row>
      <xdr:rowOff>21432</xdr:rowOff>
    </xdr:to>
    <xdr:grpSp>
      <xdr:nvGrpSpPr>
        <xdr:cNvPr id="16" name="Grupo 15"/>
        <xdr:cNvGrpSpPr/>
      </xdr:nvGrpSpPr>
      <xdr:grpSpPr>
        <a:xfrm>
          <a:off x="2416969" y="1569244"/>
          <a:ext cx="4250531" cy="1643063"/>
          <a:chOff x="2416969" y="1583531"/>
          <a:chExt cx="4250531" cy="1643063"/>
        </a:xfrm>
      </xdr:grpSpPr>
      <xdr:sp macro="" textlink="">
        <xdr:nvSpPr>
          <xdr:cNvPr id="12" name="Retângulo 11"/>
          <xdr:cNvSpPr/>
        </xdr:nvSpPr>
        <xdr:spPr>
          <a:xfrm>
            <a:off x="2440781" y="1654969"/>
            <a:ext cx="4226719" cy="1571625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16">
        <xdr:nvSpPr>
          <xdr:cNvPr id="13" name="Retângulo 12"/>
          <xdr:cNvSpPr/>
        </xdr:nvSpPr>
        <xdr:spPr>
          <a:xfrm>
            <a:off x="3033714" y="1652588"/>
            <a:ext cx="3074194" cy="15716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2AB6C842-710B-4C7C-BFEE-C48D512E85B4}" type="TxLink">
              <a:rPr lang="en-US" sz="2800" b="1" i="0" u="none" strike="noStrike">
                <a:solidFill>
                  <a:srgbClr val="2AE6B1"/>
                </a:solidFill>
                <a:latin typeface="Aptos Narrow"/>
              </a:rPr>
              <a:pPr algn="ctr"/>
              <a:t>990</a:t>
            </a:fld>
            <a:endParaRPr lang="pt-BR" sz="2800" b="1">
              <a:solidFill>
                <a:srgbClr val="2AE6B1"/>
              </a:solidFill>
            </a:endParaRPr>
          </a:p>
        </xdr:txBody>
      </xdr:sp>
      <xdr:pic>
        <xdr:nvPicPr>
          <xdr:cNvPr id="14" name="Imagem 13">
            <a:extLst>
              <a:ext uri="{FF2B5EF4-FFF2-40B4-BE49-F238E27FC236}">
                <a16:creationId xmlns:a16="http://schemas.microsoft.com/office/drawing/2014/main" xmlns="" id="{34E653DD-5BBB-B7D9-BDBD-2F59393458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16969" y="1821656"/>
            <a:ext cx="1371600" cy="1152525"/>
          </a:xfrm>
          <a:prstGeom prst="rect">
            <a:avLst/>
          </a:prstGeom>
        </xdr:spPr>
      </xdr:pic>
      <xdr:sp macro="" textlink="">
        <xdr:nvSpPr>
          <xdr:cNvPr id="15" name="Arredondar Retângulo no Mesmo Canto Lateral 14"/>
          <xdr:cNvSpPr/>
        </xdr:nvSpPr>
        <xdr:spPr>
          <a:xfrm>
            <a:off x="2452687" y="1583531"/>
            <a:ext cx="4214813" cy="500063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</a:t>
            </a:r>
            <a:r>
              <a:rPr lang="pt-BR" sz="1200" b="1" baseline="0">
                <a:latin typeface="Segoe UI" panose="020B0502040204020203" pitchFamily="34" charset="0"/>
                <a:cs typeface="Segoe UI" panose="020B0502040204020203" pitchFamily="34" charset="0"/>
              </a:rPr>
              <a:t> EA PLAY SEASON PASS</a:t>
            </a:r>
            <a:endParaRPr lang="pt-BR" sz="12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9</xdr:col>
      <xdr:colOff>271463</xdr:colOff>
      <xdr:row>5</xdr:row>
      <xdr:rowOff>116681</xdr:rowOff>
    </xdr:from>
    <xdr:to>
      <xdr:col>15</xdr:col>
      <xdr:colOff>569119</xdr:colOff>
      <xdr:row>14</xdr:row>
      <xdr:rowOff>21432</xdr:rowOff>
    </xdr:to>
    <xdr:grpSp>
      <xdr:nvGrpSpPr>
        <xdr:cNvPr id="17" name="Grupo 16"/>
        <xdr:cNvGrpSpPr/>
      </xdr:nvGrpSpPr>
      <xdr:grpSpPr>
        <a:xfrm>
          <a:off x="7260432" y="1569244"/>
          <a:ext cx="4250531" cy="1643063"/>
          <a:chOff x="2416969" y="1583531"/>
          <a:chExt cx="4250531" cy="1643063"/>
        </a:xfrm>
      </xdr:grpSpPr>
      <xdr:sp macro="" textlink="">
        <xdr:nvSpPr>
          <xdr:cNvPr id="18" name="Retângulo 17"/>
          <xdr:cNvSpPr/>
        </xdr:nvSpPr>
        <xdr:spPr>
          <a:xfrm>
            <a:off x="2440781" y="1654969"/>
            <a:ext cx="4226719" cy="1571625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5">
        <xdr:nvSpPr>
          <xdr:cNvPr id="19" name="Retângulo 18"/>
          <xdr:cNvSpPr/>
        </xdr:nvSpPr>
        <xdr:spPr>
          <a:xfrm>
            <a:off x="3033714" y="1652588"/>
            <a:ext cx="3074194" cy="1571625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0AB2298F-E031-4A1C-9A51-2284F8D2061D}" type="TxLink">
              <a:rPr lang="en-US" sz="2800" b="1" i="0" u="none" strike="noStrike">
                <a:solidFill>
                  <a:srgbClr val="2AE6B1"/>
                </a:solidFill>
                <a:latin typeface="Aptos Narrow"/>
              </a:rPr>
              <a:t>660</a:t>
            </a:fld>
            <a:endParaRPr lang="pt-BR" sz="2800" b="1">
              <a:solidFill>
                <a:srgbClr val="2AE6B1"/>
              </a:solidFill>
            </a:endParaRPr>
          </a:p>
        </xdr:txBody>
      </xdr:sp>
      <xdr:pic>
        <xdr:nvPicPr>
          <xdr:cNvPr id="20" name="Imagem 19">
            <a:extLst>
              <a:ext uri="{FF2B5EF4-FFF2-40B4-BE49-F238E27FC236}">
                <a16:creationId xmlns:a16="http://schemas.microsoft.com/office/drawing/2014/main" xmlns="" id="{34E653DD-5BBB-B7D9-BDBD-2F59393458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16969" y="1821656"/>
            <a:ext cx="1371600" cy="1152525"/>
          </a:xfrm>
          <a:prstGeom prst="rect">
            <a:avLst/>
          </a:prstGeom>
        </xdr:spPr>
      </xdr:pic>
      <xdr:sp macro="" textlink="">
        <xdr:nvSpPr>
          <xdr:cNvPr id="21" name="Arredondar Retângulo no Mesmo Canto Lateral 20"/>
          <xdr:cNvSpPr/>
        </xdr:nvSpPr>
        <xdr:spPr>
          <a:xfrm>
            <a:off x="2452687" y="1583531"/>
            <a:ext cx="4214813" cy="500063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</a:t>
            </a:r>
            <a:r>
              <a:rPr lang="pt-BR" sz="1200" b="1" baseline="0">
                <a:latin typeface="Segoe UI" panose="020B0502040204020203" pitchFamily="34" charset="0"/>
                <a:cs typeface="Segoe UI" panose="020B0502040204020203" pitchFamily="34" charset="0"/>
              </a:rPr>
              <a:t> MINECRAFT SEASON PASS</a:t>
            </a:r>
            <a:endParaRPr lang="pt-BR" sz="12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2</xdr:col>
      <xdr:colOff>261937</xdr:colOff>
      <xdr:row>15</xdr:row>
      <xdr:rowOff>176213</xdr:rowOff>
    </xdr:from>
    <xdr:to>
      <xdr:col>17</xdr:col>
      <xdr:colOff>642937</xdr:colOff>
      <xdr:row>36</xdr:row>
      <xdr:rowOff>128588</xdr:rowOff>
    </xdr:to>
    <xdr:grpSp>
      <xdr:nvGrpSpPr>
        <xdr:cNvPr id="23" name="Grupo 22"/>
        <xdr:cNvGrpSpPr/>
      </xdr:nvGrpSpPr>
      <xdr:grpSpPr>
        <a:xfrm>
          <a:off x="2416968" y="3545682"/>
          <a:ext cx="10548938" cy="3702844"/>
          <a:chOff x="2405062" y="3238500"/>
          <a:chExt cx="10548938" cy="3702844"/>
        </a:xfrm>
      </xdr:grpSpPr>
      <xdr:grpSp>
        <xdr:nvGrpSpPr>
          <xdr:cNvPr id="11" name="Grupo 10"/>
          <xdr:cNvGrpSpPr/>
        </xdr:nvGrpSpPr>
        <xdr:grpSpPr>
          <a:xfrm>
            <a:off x="2405063" y="3286125"/>
            <a:ext cx="10548937" cy="3655219"/>
            <a:chOff x="2286000" y="1440656"/>
            <a:chExt cx="4869656" cy="3012282"/>
          </a:xfrm>
        </xdr:grpSpPr>
        <xdr:sp macro="" textlink="">
          <xdr:nvSpPr>
            <xdr:cNvPr id="9" name="Retângulo 8"/>
            <xdr:cNvSpPr/>
          </xdr:nvSpPr>
          <xdr:spPr>
            <a:xfrm>
              <a:off x="2286000" y="1440656"/>
              <a:ext cx="4869656" cy="3012282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/>
            <xdr:cNvGraphicFramePr>
              <a:graphicFrameLocks/>
            </xdr:cNvGraphicFramePr>
          </xdr:nvGraphicFramePr>
          <xdr:xfrm>
            <a:off x="2347913" y="1862571"/>
            <a:ext cx="4572000" cy="238081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  <xdr:sp macro="" textlink="">
        <xdr:nvSpPr>
          <xdr:cNvPr id="22" name="Arredondar Retângulo no Mesmo Canto Lateral 21"/>
          <xdr:cNvSpPr/>
        </xdr:nvSpPr>
        <xdr:spPr>
          <a:xfrm>
            <a:off x="2405062" y="3238500"/>
            <a:ext cx="10548938" cy="54530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SUBSCRIPTIONS</a:t>
            </a:r>
            <a:r>
              <a:rPr lang="pt-BR" sz="1200" b="1" baseline="0">
                <a:latin typeface="Segoe UI" panose="020B0502040204020203" pitchFamily="34" charset="0"/>
                <a:cs typeface="Segoe UI" panose="020B0502040204020203" pitchFamily="34" charset="0"/>
              </a:rPr>
              <a:t> XBOX GAME PASS</a:t>
            </a:r>
            <a:endParaRPr lang="pt-BR" sz="12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0</xdr:row>
      <xdr:rowOff>107157</xdr:rowOff>
    </xdr:from>
    <xdr:to>
      <xdr:col>0</xdr:col>
      <xdr:colOff>771525</xdr:colOff>
      <xdr:row>2</xdr:row>
      <xdr:rowOff>14288</xdr:rowOff>
    </xdr:to>
    <xdr:sp macro="" textlink="">
      <xdr:nvSpPr>
        <xdr:cNvPr id="24" name="Elipse 23">
          <a:extLst>
            <a:ext uri="{FF2B5EF4-FFF2-40B4-BE49-F238E27FC236}">
              <a16:creationId xmlns:a16="http://schemas.microsoft.com/office/drawing/2014/main" xmlns="" id="{77505866-F9E1-4D72-A197-04B674005FDF}"/>
            </a:ext>
          </a:extLst>
        </xdr:cNvPr>
        <xdr:cNvSpPr/>
      </xdr:nvSpPr>
      <xdr:spPr>
        <a:xfrm>
          <a:off x="0" y="107157"/>
          <a:ext cx="771525" cy="657225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47625</xdr:colOff>
      <xdr:row>2</xdr:row>
      <xdr:rowOff>202406</xdr:rowOff>
    </xdr:from>
    <xdr:to>
      <xdr:col>1</xdr:col>
      <xdr:colOff>11906</xdr:colOff>
      <xdr:row>2</xdr:row>
      <xdr:rowOff>488156</xdr:rowOff>
    </xdr:to>
    <xdr:sp macro="" textlink="">
      <xdr:nvSpPr>
        <xdr:cNvPr id="25" name="Retângulo 24"/>
        <xdr:cNvSpPr/>
      </xdr:nvSpPr>
      <xdr:spPr>
        <a:xfrm>
          <a:off x="47625" y="952500"/>
          <a:ext cx="1845469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/>
            <a:t>BEM VINDA ISABELA</a:t>
          </a:r>
        </a:p>
      </xdr:txBody>
    </xdr:sp>
    <xdr:clientData/>
  </xdr:twoCellAnchor>
  <xdr:twoCellAnchor>
    <xdr:from>
      <xdr:col>2</xdr:col>
      <xdr:colOff>428625</xdr:colOff>
      <xdr:row>3</xdr:row>
      <xdr:rowOff>11906</xdr:rowOff>
    </xdr:from>
    <xdr:to>
      <xdr:col>10</xdr:col>
      <xdr:colOff>23813</xdr:colOff>
      <xdr:row>5</xdr:row>
      <xdr:rowOff>35718</xdr:rowOff>
    </xdr:to>
    <xdr:sp macro="" textlink="">
      <xdr:nvSpPr>
        <xdr:cNvPr id="28" name="Retângulo 27"/>
        <xdr:cNvSpPr/>
      </xdr:nvSpPr>
      <xdr:spPr>
        <a:xfrm>
          <a:off x="2583656" y="1262062"/>
          <a:ext cx="5119688" cy="226219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CALCULATION DATE 01/01/2024 - 31/12/2024</a:t>
          </a:r>
          <a:r>
            <a:rPr lang="pt-BR" sz="1100" baseline="0"/>
            <a:t> </a:t>
          </a:r>
          <a:endParaRPr lang="pt-BR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afaela" refreshedDate="45962.792418865742" createdVersion="5" refreshedVersion="5" minRefreshableVersion="3" recordCount="295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5">
  <r>
    <n v="3231"/>
    <s v="João Silva"/>
    <x v="0"/>
    <d v="2024-01-01T00:00:00"/>
    <x v="0"/>
    <n v="15"/>
    <x v="0"/>
    <s v="Yes"/>
    <x v="0"/>
    <s v="Yes"/>
    <n v="20"/>
    <n v="5"/>
    <n v="60"/>
  </r>
  <r>
    <n v="3232"/>
    <s v="Maria Oliveira"/>
    <x v="1"/>
    <d v="2024-01-15T00:00:00"/>
    <x v="1"/>
    <n v="5"/>
    <x v="1"/>
    <s v="No"/>
    <x v="1"/>
    <s v="No"/>
    <n v="0"/>
    <n v="0"/>
    <n v="5"/>
  </r>
  <r>
    <n v="3233"/>
    <s v="Lucas Fernandes"/>
    <x v="2"/>
    <d v="2024-02-10T00:00:00"/>
    <x v="0"/>
    <n v="10"/>
    <x v="2"/>
    <s v="No"/>
    <x v="1"/>
    <s v="Yes"/>
    <n v="20"/>
    <n v="10"/>
    <n v="20"/>
  </r>
  <r>
    <n v="3234"/>
    <s v="Ana Souza"/>
    <x v="0"/>
    <d v="2024-02-20T00:00:00"/>
    <x v="1"/>
    <n v="15"/>
    <x v="0"/>
    <s v="Yes"/>
    <x v="0"/>
    <s v="Yes"/>
    <n v="20"/>
    <n v="3"/>
    <n v="62"/>
  </r>
  <r>
    <n v="3235"/>
    <s v="Pedro Gonçalves"/>
    <x v="1"/>
    <d v="2024-03-05T00:00:00"/>
    <x v="0"/>
    <n v="5"/>
    <x v="0"/>
    <s v="No"/>
    <x v="1"/>
    <s v="No"/>
    <n v="0"/>
    <n v="1"/>
    <n v="4"/>
  </r>
  <r>
    <n v="3236"/>
    <s v="Felipe Costa"/>
    <x v="2"/>
    <d v="2024-03-02T00:00:00"/>
    <x v="1"/>
    <n v="10"/>
    <x v="0"/>
    <s v="No"/>
    <x v="1"/>
    <s v="Yes"/>
    <n v="20"/>
    <n v="2"/>
    <n v="28"/>
  </r>
  <r>
    <n v="3237"/>
    <s v="Camila Ribeiro"/>
    <x v="0"/>
    <d v="2024-03-03T00:00:00"/>
    <x v="0"/>
    <n v="15"/>
    <x v="2"/>
    <s v="Yes"/>
    <x v="0"/>
    <s v="Yes"/>
    <n v="20"/>
    <n v="10"/>
    <n v="55"/>
  </r>
  <r>
    <n v="3238"/>
    <s v="André Mendes"/>
    <x v="1"/>
    <d v="2024-03-04T00:00:00"/>
    <x v="0"/>
    <n v="5"/>
    <x v="1"/>
    <s v="No"/>
    <x v="1"/>
    <s v="No"/>
    <n v="0"/>
    <n v="0"/>
    <n v="5"/>
  </r>
  <r>
    <n v="3239"/>
    <s v="Sofia Almeida"/>
    <x v="0"/>
    <d v="2024-03-05T00:00:00"/>
    <x v="1"/>
    <n v="15"/>
    <x v="0"/>
    <s v="Yes"/>
    <x v="0"/>
    <s v="Yes"/>
    <n v="20"/>
    <n v="5"/>
    <n v="60"/>
  </r>
  <r>
    <n v="3240"/>
    <s v="Bruno Martins"/>
    <x v="2"/>
    <d v="2024-03-06T00:00:00"/>
    <x v="0"/>
    <n v="10"/>
    <x v="2"/>
    <s v="No"/>
    <x v="1"/>
    <s v="Yes"/>
    <n v="20"/>
    <n v="15"/>
    <n v="15"/>
  </r>
  <r>
    <n v="3241"/>
    <s v="Rita Castro"/>
    <x v="1"/>
    <d v="2024-03-07T00:00:00"/>
    <x v="1"/>
    <n v="5"/>
    <x v="0"/>
    <s v="No"/>
    <x v="1"/>
    <s v="No"/>
    <n v="0"/>
    <n v="1"/>
    <n v="4"/>
  </r>
  <r>
    <n v="3242"/>
    <s v="Marco Túlio"/>
    <x v="0"/>
    <d v="2024-03-08T00:00:00"/>
    <x v="0"/>
    <n v="15"/>
    <x v="1"/>
    <s v="Yes"/>
    <x v="0"/>
    <s v="Yes"/>
    <n v="20"/>
    <n v="20"/>
    <n v="45"/>
  </r>
  <r>
    <n v="3243"/>
    <s v="Lívia Silveira"/>
    <x v="2"/>
    <d v="2024-03-09T00:00:00"/>
    <x v="1"/>
    <n v="10"/>
    <x v="0"/>
    <s v="No"/>
    <x v="1"/>
    <s v="Yes"/>
    <n v="20"/>
    <n v="10"/>
    <n v="20"/>
  </r>
  <r>
    <n v="3244"/>
    <s v="Diogo Sousa"/>
    <x v="1"/>
    <d v="2024-03-10T00:00:00"/>
    <x v="0"/>
    <n v="5"/>
    <x v="2"/>
    <s v="No"/>
    <x v="1"/>
    <s v="No"/>
    <n v="0"/>
    <n v="0"/>
    <n v="5"/>
  </r>
  <r>
    <n v="3245"/>
    <s v="Fernanda Lima"/>
    <x v="0"/>
    <d v="2024-03-11T00:00:00"/>
    <x v="1"/>
    <n v="15"/>
    <x v="0"/>
    <s v="Yes"/>
    <x v="0"/>
    <s v="Yes"/>
    <n v="20"/>
    <n v="8"/>
    <n v="57"/>
  </r>
  <r>
    <n v="3246"/>
    <s v="Caio Pereira"/>
    <x v="2"/>
    <d v="2024-03-12T00:00:00"/>
    <x v="0"/>
    <n v="10"/>
    <x v="1"/>
    <s v="No"/>
    <x v="1"/>
    <s v="Yes"/>
    <n v="20"/>
    <n v="12"/>
    <n v="18"/>
  </r>
  <r>
    <n v="3247"/>
    <s v="Beatriz Gomes"/>
    <x v="1"/>
    <d v="2024-03-13T00:00:00"/>
    <x v="1"/>
    <n v="5"/>
    <x v="0"/>
    <s v="No"/>
    <x v="1"/>
    <s v="No"/>
    <n v="0"/>
    <n v="2"/>
    <n v="3"/>
  </r>
  <r>
    <n v="3248"/>
    <s v="Cesar Oliveira"/>
    <x v="0"/>
    <d v="2024-03-14T00:00:00"/>
    <x v="0"/>
    <n v="15"/>
    <x v="2"/>
    <s v="Yes"/>
    <x v="0"/>
    <s v="Yes"/>
    <n v="20"/>
    <n v="7"/>
    <n v="58"/>
  </r>
  <r>
    <n v="3249"/>
    <s v="Débora Machado"/>
    <x v="2"/>
    <d v="2024-03-15T00:00:00"/>
    <x v="1"/>
    <n v="10"/>
    <x v="0"/>
    <s v="No"/>
    <x v="1"/>
    <s v="Yes"/>
    <n v="20"/>
    <n v="5"/>
    <n v="25"/>
  </r>
  <r>
    <n v="3250"/>
    <s v="Eduardo Vargas"/>
    <x v="1"/>
    <d v="2024-03-16T00:00:00"/>
    <x v="0"/>
    <n v="5"/>
    <x v="1"/>
    <s v="No"/>
    <x v="1"/>
    <s v="No"/>
    <n v="0"/>
    <n v="0"/>
    <n v="5"/>
  </r>
  <r>
    <n v="3251"/>
    <s v="Gabriela Santos"/>
    <x v="0"/>
    <d v="2024-03-17T00:00:00"/>
    <x v="1"/>
    <n v="15"/>
    <x v="0"/>
    <s v="Yes"/>
    <x v="0"/>
    <s v="Yes"/>
    <n v="20"/>
    <n v="3"/>
    <n v="62"/>
  </r>
  <r>
    <n v="3252"/>
    <s v="Henrique Dias"/>
    <x v="2"/>
    <d v="2024-03-18T00:00:00"/>
    <x v="0"/>
    <n v="10"/>
    <x v="2"/>
    <s v="No"/>
    <x v="1"/>
    <s v="Yes"/>
    <n v="20"/>
    <n v="15"/>
    <n v="15"/>
  </r>
  <r>
    <n v="3253"/>
    <s v="Isabela Moreira"/>
    <x v="1"/>
    <d v="2024-03-19T00:00:00"/>
    <x v="1"/>
    <n v="5"/>
    <x v="0"/>
    <s v="No"/>
    <x v="1"/>
    <s v="No"/>
    <n v="0"/>
    <n v="1"/>
    <n v="4"/>
  </r>
  <r>
    <n v="3254"/>
    <s v="Joaquim Barbosa"/>
    <x v="0"/>
    <d v="2024-03-20T00:00:00"/>
    <x v="0"/>
    <n v="15"/>
    <x v="1"/>
    <s v="Yes"/>
    <x v="0"/>
    <s v="Yes"/>
    <n v="20"/>
    <n v="20"/>
    <n v="45"/>
  </r>
  <r>
    <n v="3255"/>
    <s v="Lara Rocha"/>
    <x v="2"/>
    <d v="2024-03-21T00:00:00"/>
    <x v="1"/>
    <n v="10"/>
    <x v="0"/>
    <s v="No"/>
    <x v="1"/>
    <s v="Yes"/>
    <n v="20"/>
    <n v="10"/>
    <n v="20"/>
  </r>
  <r>
    <n v="3256"/>
    <s v="Matheus Silva"/>
    <x v="1"/>
    <d v="2024-03-22T00:00:00"/>
    <x v="0"/>
    <n v="5"/>
    <x v="2"/>
    <s v="No"/>
    <x v="1"/>
    <s v="No"/>
    <n v="0"/>
    <n v="0"/>
    <n v="5"/>
  </r>
  <r>
    <n v="3257"/>
    <s v="Nicole Costa"/>
    <x v="0"/>
    <d v="2024-03-23T00:00:00"/>
    <x v="1"/>
    <n v="15"/>
    <x v="0"/>
    <s v="Yes"/>
    <x v="0"/>
    <s v="Yes"/>
    <n v="20"/>
    <n v="5"/>
    <n v="60"/>
  </r>
  <r>
    <n v="3258"/>
    <s v="Otávio Mendonça"/>
    <x v="2"/>
    <d v="2024-03-24T00:00:00"/>
    <x v="0"/>
    <n v="10"/>
    <x v="1"/>
    <s v="No"/>
    <x v="1"/>
    <s v="Yes"/>
    <n v="20"/>
    <n v="15"/>
    <n v="15"/>
  </r>
  <r>
    <n v="3259"/>
    <s v="Paula Ferreira"/>
    <x v="1"/>
    <d v="2024-03-25T00:00:00"/>
    <x v="1"/>
    <n v="5"/>
    <x v="0"/>
    <s v="No"/>
    <x v="1"/>
    <s v="No"/>
    <n v="0"/>
    <n v="1"/>
    <n v="4"/>
  </r>
  <r>
    <n v="3260"/>
    <s v="Raquel Alves"/>
    <x v="0"/>
    <d v="2024-03-26T00:00:00"/>
    <x v="0"/>
    <n v="15"/>
    <x v="2"/>
    <s v="Yes"/>
    <x v="0"/>
    <s v="Yes"/>
    <n v="20"/>
    <n v="7"/>
    <n v="58"/>
  </r>
  <r>
    <n v="3261"/>
    <s v="Samuel Pires"/>
    <x v="2"/>
    <d v="2024-03-27T00:00:00"/>
    <x v="1"/>
    <n v="10"/>
    <x v="0"/>
    <s v="No"/>
    <x v="1"/>
    <s v="Yes"/>
    <n v="20"/>
    <n v="10"/>
    <n v="20"/>
  </r>
  <r>
    <n v="3262"/>
    <s v="Tânia Barros"/>
    <x v="1"/>
    <d v="2024-03-28T00:00:00"/>
    <x v="0"/>
    <n v="5"/>
    <x v="1"/>
    <s v="No"/>
    <x v="1"/>
    <s v="No"/>
    <n v="0"/>
    <n v="0"/>
    <n v="5"/>
  </r>
  <r>
    <n v="3263"/>
    <s v="Vinicius Lima"/>
    <x v="0"/>
    <d v="2024-03-29T00:00:00"/>
    <x v="1"/>
    <n v="15"/>
    <x v="0"/>
    <s v="Yes"/>
    <x v="0"/>
    <s v="Yes"/>
    <n v="20"/>
    <n v="3"/>
    <n v="62"/>
  </r>
  <r>
    <n v="3264"/>
    <s v="Yasmin Teixeira"/>
    <x v="2"/>
    <d v="2024-03-30T00:00:00"/>
    <x v="0"/>
    <n v="10"/>
    <x v="2"/>
    <s v="No"/>
    <x v="1"/>
    <s v="Yes"/>
    <n v="20"/>
    <n v="15"/>
    <n v="15"/>
  </r>
  <r>
    <n v="3265"/>
    <s v="Zé Carlos"/>
    <x v="1"/>
    <d v="2024-03-31T00:00:00"/>
    <x v="1"/>
    <n v="5"/>
    <x v="0"/>
    <s v="No"/>
    <x v="1"/>
    <s v="No"/>
    <n v="0"/>
    <n v="1"/>
    <n v="4"/>
  </r>
  <r>
    <n v="3266"/>
    <s v="Amanda Nogueira"/>
    <x v="1"/>
    <d v="2024-04-01T00:00:00"/>
    <x v="0"/>
    <n v="5"/>
    <x v="0"/>
    <s v="No"/>
    <x v="1"/>
    <s v="No"/>
    <n v="0"/>
    <n v="0"/>
    <n v="5"/>
  </r>
  <r>
    <n v="3267"/>
    <s v="Bruno Cavalheiro"/>
    <x v="0"/>
    <d v="2024-04-02T00:00:00"/>
    <x v="1"/>
    <n v="15"/>
    <x v="2"/>
    <s v="Yes"/>
    <x v="0"/>
    <s v="Yes"/>
    <n v="20"/>
    <n v="7"/>
    <n v="58"/>
  </r>
  <r>
    <n v="3268"/>
    <s v="Carla Dias"/>
    <x v="2"/>
    <d v="2024-04-03T00:00:00"/>
    <x v="0"/>
    <n v="10"/>
    <x v="1"/>
    <s v="No"/>
    <x v="1"/>
    <s v="Yes"/>
    <n v="20"/>
    <n v="10"/>
    <n v="20"/>
  </r>
  <r>
    <n v="3269"/>
    <s v="Diego Fontes"/>
    <x v="1"/>
    <d v="2024-04-04T00:00:00"/>
    <x v="1"/>
    <n v="5"/>
    <x v="2"/>
    <s v="No"/>
    <x v="1"/>
    <s v="No"/>
    <n v="0"/>
    <n v="1"/>
    <n v="4"/>
  </r>
  <r>
    <n v="3270"/>
    <s v="Eunice Lima"/>
    <x v="0"/>
    <d v="2024-04-05T00:00:00"/>
    <x v="0"/>
    <n v="15"/>
    <x v="0"/>
    <s v="Yes"/>
    <x v="0"/>
    <s v="Yes"/>
    <n v="20"/>
    <n v="15"/>
    <n v="50"/>
  </r>
  <r>
    <n v="3271"/>
    <s v="Fábio Martins"/>
    <x v="2"/>
    <d v="2024-04-06T00:00:00"/>
    <x v="1"/>
    <n v="10"/>
    <x v="0"/>
    <s v="No"/>
    <x v="1"/>
    <s v="Yes"/>
    <n v="20"/>
    <n v="5"/>
    <n v="25"/>
  </r>
  <r>
    <n v="3272"/>
    <s v="Gisele Araújo"/>
    <x v="1"/>
    <d v="2024-04-07T00:00:00"/>
    <x v="0"/>
    <n v="5"/>
    <x v="1"/>
    <s v="No"/>
    <x v="1"/>
    <s v="No"/>
    <n v="0"/>
    <n v="0"/>
    <n v="5"/>
  </r>
  <r>
    <n v="3273"/>
    <s v="Hélio Castro"/>
    <x v="0"/>
    <d v="2024-04-08T00:00:00"/>
    <x v="1"/>
    <n v="15"/>
    <x v="2"/>
    <s v="Yes"/>
    <x v="0"/>
    <s v="Yes"/>
    <n v="20"/>
    <n v="20"/>
    <n v="45"/>
  </r>
  <r>
    <n v="3274"/>
    <s v="Ingrid Menezes"/>
    <x v="2"/>
    <d v="2024-04-09T00:00:00"/>
    <x v="0"/>
    <n v="10"/>
    <x v="2"/>
    <s v="No"/>
    <x v="1"/>
    <s v="Yes"/>
    <n v="20"/>
    <n v="12"/>
    <n v="18"/>
  </r>
  <r>
    <n v="3275"/>
    <s v="Jorge Baptista"/>
    <x v="1"/>
    <d v="2024-04-10T00:00:00"/>
    <x v="1"/>
    <n v="5"/>
    <x v="0"/>
    <s v="No"/>
    <x v="1"/>
    <s v="No"/>
    <n v="0"/>
    <n v="2"/>
    <n v="3"/>
  </r>
  <r>
    <n v="3276"/>
    <s v="Kléber Oliveira"/>
    <x v="0"/>
    <d v="2024-04-11T00:00:00"/>
    <x v="0"/>
    <n v="15"/>
    <x v="1"/>
    <s v="Yes"/>
    <x v="0"/>
    <s v="Yes"/>
    <n v="20"/>
    <n v="5"/>
    <n v="60"/>
  </r>
  <r>
    <n v="3277"/>
    <s v="Luciana Freitas"/>
    <x v="2"/>
    <d v="2024-04-12T00:00:00"/>
    <x v="1"/>
    <n v="10"/>
    <x v="0"/>
    <s v="No"/>
    <x v="1"/>
    <s v="Yes"/>
    <n v="20"/>
    <n v="10"/>
    <n v="20"/>
  </r>
  <r>
    <n v="3278"/>
    <s v="Márcia Eller"/>
    <x v="1"/>
    <d v="2024-04-13T00:00:00"/>
    <x v="0"/>
    <n v="5"/>
    <x v="2"/>
    <s v="No"/>
    <x v="1"/>
    <s v="No"/>
    <n v="0"/>
    <n v="0"/>
    <n v="5"/>
  </r>
  <r>
    <n v="3279"/>
    <s v="Nilo Peçanha"/>
    <x v="0"/>
    <d v="2024-04-14T00:00:00"/>
    <x v="1"/>
    <n v="15"/>
    <x v="0"/>
    <s v="Yes"/>
    <x v="0"/>
    <s v="Yes"/>
    <n v="20"/>
    <n v="3"/>
    <n v="62"/>
  </r>
  <r>
    <n v="3280"/>
    <s v="Oscar Neves"/>
    <x v="2"/>
    <d v="2024-04-15T00:00:00"/>
    <x v="0"/>
    <n v="10"/>
    <x v="1"/>
    <s v="No"/>
    <x v="1"/>
    <s v="Yes"/>
    <n v="20"/>
    <n v="15"/>
    <n v="15"/>
  </r>
  <r>
    <n v="3281"/>
    <s v="Patrícia Soares"/>
    <x v="1"/>
    <d v="2024-04-16T00:00:00"/>
    <x v="1"/>
    <n v="5"/>
    <x v="0"/>
    <s v="No"/>
    <x v="1"/>
    <s v="No"/>
    <n v="0"/>
    <n v="1"/>
    <n v="4"/>
  </r>
  <r>
    <n v="3282"/>
    <s v="Quirino Gonçalves"/>
    <x v="0"/>
    <d v="2024-04-17T00:00:00"/>
    <x v="0"/>
    <n v="15"/>
    <x v="2"/>
    <s v="Yes"/>
    <x v="0"/>
    <s v="Yes"/>
    <n v="20"/>
    <n v="7"/>
    <n v="58"/>
  </r>
  <r>
    <n v="3283"/>
    <s v="Raul Machado"/>
    <x v="2"/>
    <d v="2024-04-18T00:00:00"/>
    <x v="1"/>
    <n v="10"/>
    <x v="0"/>
    <s v="No"/>
    <x v="1"/>
    <s v="Yes"/>
    <n v="20"/>
    <n v="10"/>
    <n v="20"/>
  </r>
  <r>
    <n v="3284"/>
    <s v="Sônia Lobo"/>
    <x v="1"/>
    <d v="2024-04-19T00:00:00"/>
    <x v="0"/>
    <n v="5"/>
    <x v="1"/>
    <s v="No"/>
    <x v="1"/>
    <s v="No"/>
    <n v="0"/>
    <n v="0"/>
    <n v="5"/>
  </r>
  <r>
    <n v="3285"/>
    <s v="Tiago Ramos"/>
    <x v="0"/>
    <d v="2024-04-20T00:00:00"/>
    <x v="1"/>
    <n v="15"/>
    <x v="0"/>
    <s v="Yes"/>
    <x v="0"/>
    <s v="Yes"/>
    <n v="20"/>
    <n v="20"/>
    <n v="45"/>
  </r>
  <r>
    <n v="3286"/>
    <s v="Ugo Pires"/>
    <x v="2"/>
    <d v="2024-04-21T00:00:00"/>
    <x v="0"/>
    <n v="10"/>
    <x v="2"/>
    <s v="No"/>
    <x v="1"/>
    <s v="Yes"/>
    <n v="20"/>
    <n v="15"/>
    <n v="15"/>
  </r>
  <r>
    <n v="3287"/>
    <s v="Valéria Nobre"/>
    <x v="1"/>
    <d v="2024-04-22T00:00:00"/>
    <x v="1"/>
    <n v="5"/>
    <x v="0"/>
    <s v="No"/>
    <x v="1"/>
    <s v="No"/>
    <n v="0"/>
    <n v="1"/>
    <n v="4"/>
  </r>
  <r>
    <n v="3288"/>
    <s v="William Siqueira"/>
    <x v="0"/>
    <d v="2024-04-23T00:00:00"/>
    <x v="0"/>
    <n v="15"/>
    <x v="1"/>
    <s v="Yes"/>
    <x v="0"/>
    <s v="Yes"/>
    <n v="20"/>
    <n v="3"/>
    <n v="62"/>
  </r>
  <r>
    <n v="3289"/>
    <s v="Xuxa Meneghel"/>
    <x v="2"/>
    <d v="2024-04-24T00:00:00"/>
    <x v="1"/>
    <n v="10"/>
    <x v="0"/>
    <s v="No"/>
    <x v="1"/>
    <s v="Yes"/>
    <n v="20"/>
    <n v="10"/>
    <n v="20"/>
  </r>
  <r>
    <n v="3290"/>
    <s v="Yara Figueiredo"/>
    <x v="1"/>
    <d v="2024-04-25T00:00:00"/>
    <x v="0"/>
    <n v="5"/>
    <x v="2"/>
    <s v="No"/>
    <x v="1"/>
    <s v="No"/>
    <n v="0"/>
    <n v="0"/>
    <n v="5"/>
  </r>
  <r>
    <n v="3291"/>
    <s v="Zacarias Alves"/>
    <x v="0"/>
    <d v="2024-04-26T00:00:00"/>
    <x v="1"/>
    <n v="15"/>
    <x v="0"/>
    <s v="Yes"/>
    <x v="0"/>
    <s v="Yes"/>
    <n v="20"/>
    <n v="5"/>
    <n v="60"/>
  </r>
  <r>
    <n v="3292"/>
    <s v="Amanda Bynes"/>
    <x v="2"/>
    <d v="2024-04-27T00:00:00"/>
    <x v="0"/>
    <n v="10"/>
    <x v="1"/>
    <s v="No"/>
    <x v="1"/>
    <s v="Yes"/>
    <n v="20"/>
    <n v="15"/>
    <n v="15"/>
  </r>
  <r>
    <n v="3293"/>
    <s v="Bruno Mars"/>
    <x v="1"/>
    <d v="2024-04-28T00:00:00"/>
    <x v="1"/>
    <n v="5"/>
    <x v="0"/>
    <s v="No"/>
    <x v="1"/>
    <s v="No"/>
    <n v="0"/>
    <n v="1"/>
    <n v="4"/>
  </r>
  <r>
    <n v="3294"/>
    <s v="Carla Bruni"/>
    <x v="0"/>
    <d v="2024-04-29T00:00:00"/>
    <x v="0"/>
    <n v="15"/>
    <x v="2"/>
    <s v="Yes"/>
    <x v="0"/>
    <s v="Yes"/>
    <n v="20"/>
    <n v="20"/>
    <n v="45"/>
  </r>
  <r>
    <n v="3295"/>
    <s v="Diego Maradona"/>
    <x v="2"/>
    <d v="2024-04-30T00:00:00"/>
    <x v="1"/>
    <n v="10"/>
    <x v="0"/>
    <s v="No"/>
    <x v="1"/>
    <s v="Yes"/>
    <n v="20"/>
    <n v="5"/>
    <n v="25"/>
  </r>
  <r>
    <n v="3296"/>
    <s v="Estela Marques"/>
    <x v="1"/>
    <d v="2024-05-01T00:00:00"/>
    <x v="1"/>
    <n v="5"/>
    <x v="0"/>
    <s v="No"/>
    <x v="1"/>
    <s v="No"/>
    <n v="0"/>
    <n v="0"/>
    <n v="5"/>
  </r>
  <r>
    <n v="3297"/>
    <s v="Fábio Nobre"/>
    <x v="0"/>
    <d v="2024-05-02T00:00:00"/>
    <x v="0"/>
    <n v="15"/>
    <x v="2"/>
    <s v="Yes"/>
    <x v="0"/>
    <s v="Yes"/>
    <n v="20"/>
    <n v="7"/>
    <n v="58"/>
  </r>
  <r>
    <n v="3298"/>
    <s v="Gabriel Oliveira"/>
    <x v="2"/>
    <d v="2024-05-03T00:00:00"/>
    <x v="1"/>
    <n v="10"/>
    <x v="1"/>
    <s v="No"/>
    <x v="1"/>
    <s v="Yes"/>
    <n v="20"/>
    <n v="10"/>
    <n v="20"/>
  </r>
  <r>
    <n v="3299"/>
    <s v="Helena Santos"/>
    <x v="1"/>
    <d v="2024-05-04T00:00:00"/>
    <x v="0"/>
    <n v="5"/>
    <x v="2"/>
    <s v="No"/>
    <x v="1"/>
    <s v="No"/>
    <n v="0"/>
    <n v="1"/>
    <n v="4"/>
  </r>
  <r>
    <n v="3300"/>
    <s v="Ivan Carvalho"/>
    <x v="0"/>
    <d v="2024-05-05T00:00:00"/>
    <x v="1"/>
    <n v="15"/>
    <x v="0"/>
    <s v="Yes"/>
    <x v="0"/>
    <s v="Yes"/>
    <n v="20"/>
    <n v="15"/>
    <n v="50"/>
  </r>
  <r>
    <n v="3301"/>
    <s v="Júlia Ferreira"/>
    <x v="2"/>
    <d v="2024-05-06T00:00:00"/>
    <x v="0"/>
    <n v="10"/>
    <x v="0"/>
    <s v="No"/>
    <x v="1"/>
    <s v="Yes"/>
    <n v="20"/>
    <n v="5"/>
    <n v="25"/>
  </r>
  <r>
    <n v="3302"/>
    <s v="Karla Alves"/>
    <x v="1"/>
    <d v="2024-05-07T00:00:00"/>
    <x v="1"/>
    <n v="5"/>
    <x v="1"/>
    <s v="No"/>
    <x v="1"/>
    <s v="No"/>
    <n v="0"/>
    <n v="0"/>
    <n v="5"/>
  </r>
  <r>
    <n v="3303"/>
    <s v="Lucas Mendes"/>
    <x v="0"/>
    <d v="2024-05-08T00:00:00"/>
    <x v="0"/>
    <n v="15"/>
    <x v="2"/>
    <s v="Yes"/>
    <x v="0"/>
    <s v="Yes"/>
    <n v="20"/>
    <n v="20"/>
    <n v="45"/>
  </r>
  <r>
    <n v="3304"/>
    <s v="Mônica Gomes"/>
    <x v="2"/>
    <d v="2024-05-09T00:00:00"/>
    <x v="1"/>
    <n v="10"/>
    <x v="2"/>
    <s v="No"/>
    <x v="1"/>
    <s v="Yes"/>
    <n v="20"/>
    <n v="12"/>
    <n v="18"/>
  </r>
  <r>
    <n v="3305"/>
    <s v="Norberto Queiroz"/>
    <x v="1"/>
    <d v="2024-05-10T00:00:00"/>
    <x v="0"/>
    <n v="5"/>
    <x v="0"/>
    <s v="No"/>
    <x v="1"/>
    <s v="No"/>
    <n v="0"/>
    <n v="2"/>
    <n v="3"/>
  </r>
  <r>
    <n v="3306"/>
    <s v="Otávio Barros"/>
    <x v="0"/>
    <d v="2024-05-11T00:00:00"/>
    <x v="1"/>
    <n v="15"/>
    <x v="1"/>
    <s v="Yes"/>
    <x v="0"/>
    <s v="Yes"/>
    <n v="20"/>
    <n v="5"/>
    <n v="60"/>
  </r>
  <r>
    <n v="3307"/>
    <s v="Paula Vieira"/>
    <x v="2"/>
    <d v="2024-05-12T00:00:00"/>
    <x v="0"/>
    <n v="10"/>
    <x v="0"/>
    <s v="No"/>
    <x v="1"/>
    <s v="Yes"/>
    <n v="20"/>
    <n v="10"/>
    <n v="20"/>
  </r>
  <r>
    <n v="3308"/>
    <s v="Quentin Ramos"/>
    <x v="1"/>
    <d v="2024-05-13T00:00:00"/>
    <x v="1"/>
    <n v="5"/>
    <x v="2"/>
    <s v="No"/>
    <x v="1"/>
    <s v="No"/>
    <n v="0"/>
    <n v="0"/>
    <n v="5"/>
  </r>
  <r>
    <n v="3309"/>
    <s v="Raquel Novaes"/>
    <x v="0"/>
    <d v="2024-05-14T00:00:00"/>
    <x v="0"/>
    <n v="15"/>
    <x v="0"/>
    <s v="Yes"/>
    <x v="0"/>
    <s v="Yes"/>
    <n v="20"/>
    <n v="3"/>
    <n v="62"/>
  </r>
  <r>
    <n v="3310"/>
    <s v="Samantha Lopes"/>
    <x v="2"/>
    <d v="2024-05-15T00:00:00"/>
    <x v="1"/>
    <n v="10"/>
    <x v="1"/>
    <s v="No"/>
    <x v="1"/>
    <s v="Yes"/>
    <n v="20"/>
    <n v="15"/>
    <n v="15"/>
  </r>
  <r>
    <n v="3311"/>
    <s v="Tiago Martins"/>
    <x v="1"/>
    <d v="2024-05-16T00:00:00"/>
    <x v="0"/>
    <n v="5"/>
    <x v="0"/>
    <s v="No"/>
    <x v="1"/>
    <s v="No"/>
    <n v="0"/>
    <n v="1"/>
    <n v="4"/>
  </r>
  <r>
    <n v="3312"/>
    <s v="Ulysses Guimarães"/>
    <x v="0"/>
    <d v="2024-05-17T00:00:00"/>
    <x v="1"/>
    <n v="15"/>
    <x v="2"/>
    <s v="Yes"/>
    <x v="0"/>
    <s v="Yes"/>
    <n v="20"/>
    <n v="7"/>
    <n v="58"/>
  </r>
  <r>
    <n v="3313"/>
    <s v="Vanessa Silva"/>
    <x v="2"/>
    <d v="2024-05-18T00:00:00"/>
    <x v="0"/>
    <n v="10"/>
    <x v="0"/>
    <s v="No"/>
    <x v="1"/>
    <s v="Yes"/>
    <n v="20"/>
    <n v="10"/>
    <n v="20"/>
  </r>
  <r>
    <n v="3314"/>
    <s v="William Carneiro"/>
    <x v="1"/>
    <d v="2024-05-19T00:00:00"/>
    <x v="1"/>
    <n v="5"/>
    <x v="1"/>
    <s v="No"/>
    <x v="1"/>
    <s v="No"/>
    <n v="0"/>
    <n v="0"/>
    <n v="5"/>
  </r>
  <r>
    <n v="3315"/>
    <s v="Ximena Rocha"/>
    <x v="0"/>
    <d v="2024-05-20T00:00:00"/>
    <x v="0"/>
    <n v="15"/>
    <x v="0"/>
    <s v="Yes"/>
    <x v="0"/>
    <s v="Yes"/>
    <n v="20"/>
    <n v="20"/>
    <n v="45"/>
  </r>
  <r>
    <n v="3316"/>
    <s v="Yasmin Figueiredo"/>
    <x v="2"/>
    <d v="2024-05-21T00:00:00"/>
    <x v="1"/>
    <n v="10"/>
    <x v="2"/>
    <s v="No"/>
    <x v="1"/>
    <s v="Yes"/>
    <n v="20"/>
    <n v="15"/>
    <n v="15"/>
  </r>
  <r>
    <n v="3317"/>
    <s v="Zara Cunha"/>
    <x v="1"/>
    <d v="2024-05-22T00:00:00"/>
    <x v="0"/>
    <n v="5"/>
    <x v="0"/>
    <s v="No"/>
    <x v="1"/>
    <s v="No"/>
    <n v="0"/>
    <n v="1"/>
    <n v="4"/>
  </r>
  <r>
    <n v="3318"/>
    <s v="Alan Teixeira"/>
    <x v="0"/>
    <d v="2024-05-23T00:00:00"/>
    <x v="1"/>
    <n v="15"/>
    <x v="1"/>
    <s v="Yes"/>
    <x v="0"/>
    <s v="Yes"/>
    <n v="20"/>
    <n v="3"/>
    <n v="62"/>
  </r>
  <r>
    <n v="3319"/>
    <s v="Bárbara Oliveira"/>
    <x v="2"/>
    <d v="2024-05-24T00:00:00"/>
    <x v="0"/>
    <n v="10"/>
    <x v="0"/>
    <s v="No"/>
    <x v="1"/>
    <s v="Yes"/>
    <n v="20"/>
    <n v="10"/>
    <n v="20"/>
  </r>
  <r>
    <n v="3320"/>
    <s v="Carlos Junqueira"/>
    <x v="1"/>
    <d v="2024-05-25T00:00:00"/>
    <x v="1"/>
    <n v="5"/>
    <x v="2"/>
    <s v="No"/>
    <x v="1"/>
    <s v="No"/>
    <n v="0"/>
    <n v="0"/>
    <n v="5"/>
  </r>
  <r>
    <n v="3321"/>
    <s v="Daniela Moura"/>
    <x v="0"/>
    <d v="2024-05-26T00:00:00"/>
    <x v="0"/>
    <n v="15"/>
    <x v="0"/>
    <s v="Yes"/>
    <x v="0"/>
    <s v="Yes"/>
    <n v="20"/>
    <n v="5"/>
    <n v="60"/>
  </r>
  <r>
    <n v="3322"/>
    <s v="Eduardo Lima"/>
    <x v="2"/>
    <d v="2024-05-27T00:00:00"/>
    <x v="1"/>
    <n v="10"/>
    <x v="1"/>
    <s v="No"/>
    <x v="1"/>
    <s v="Yes"/>
    <n v="20"/>
    <n v="15"/>
    <n v="15"/>
  </r>
  <r>
    <n v="3323"/>
    <s v="Fabiana Araújo"/>
    <x v="1"/>
    <d v="2024-05-28T00:00:00"/>
    <x v="0"/>
    <n v="5"/>
    <x v="0"/>
    <s v="No"/>
    <x v="1"/>
    <s v="No"/>
    <n v="0"/>
    <n v="1"/>
    <n v="4"/>
  </r>
  <r>
    <n v="3324"/>
    <s v="Geraldo Ribeiro"/>
    <x v="0"/>
    <d v="2024-05-29T00:00:00"/>
    <x v="1"/>
    <n v="15"/>
    <x v="2"/>
    <s v="Yes"/>
    <x v="0"/>
    <s v="Yes"/>
    <n v="20"/>
    <n v="20"/>
    <n v="45"/>
  </r>
  <r>
    <n v="3325"/>
    <s v="Héctor Vargas"/>
    <x v="2"/>
    <d v="2024-05-30T00:00:00"/>
    <x v="0"/>
    <n v="10"/>
    <x v="2"/>
    <s v="No"/>
    <x v="1"/>
    <s v="Yes"/>
    <n v="20"/>
    <n v="15"/>
    <n v="15"/>
  </r>
  <r>
    <n v="3326"/>
    <s v="Isabela Fonseca"/>
    <x v="1"/>
    <d v="2024-05-31T00:00:00"/>
    <x v="1"/>
    <n v="5"/>
    <x v="1"/>
    <s v="No"/>
    <x v="1"/>
    <s v="No"/>
    <n v="0"/>
    <n v="0"/>
    <n v="5"/>
  </r>
  <r>
    <n v="3327"/>
    <s v="João Pedro Almeida"/>
    <x v="0"/>
    <d v="2024-06-01T00:00:00"/>
    <x v="0"/>
    <n v="15"/>
    <x v="0"/>
    <s v="Yes"/>
    <x v="0"/>
    <s v="Yes"/>
    <n v="20"/>
    <n v="7"/>
    <n v="58"/>
  </r>
  <r>
    <n v="3328"/>
    <s v="Klara Costa"/>
    <x v="2"/>
    <d v="2024-06-02T00:00:00"/>
    <x v="1"/>
    <n v="10"/>
    <x v="1"/>
    <s v="No"/>
    <x v="1"/>
    <s v="Yes"/>
    <n v="20"/>
    <n v="10"/>
    <n v="20"/>
  </r>
  <r>
    <n v="3329"/>
    <s v="Luciana Mendes"/>
    <x v="1"/>
    <d v="2024-06-03T00:00:00"/>
    <x v="0"/>
    <n v="5"/>
    <x v="2"/>
    <s v="No"/>
    <x v="1"/>
    <s v="No"/>
    <n v="0"/>
    <n v="1"/>
    <n v="4"/>
  </r>
  <r>
    <n v="3330"/>
    <s v="Marcelo Gouveia"/>
    <x v="0"/>
    <d v="2024-06-04T00:00:00"/>
    <x v="1"/>
    <n v="15"/>
    <x v="0"/>
    <s v="Yes"/>
    <x v="0"/>
    <s v="Yes"/>
    <n v="20"/>
    <n v="15"/>
    <n v="50"/>
  </r>
  <r>
    <n v="3331"/>
    <s v="Nívea Borges"/>
    <x v="2"/>
    <d v="2024-06-05T00:00:00"/>
    <x v="0"/>
    <n v="10"/>
    <x v="0"/>
    <s v="No"/>
    <x v="1"/>
    <s v="Yes"/>
    <n v="20"/>
    <n v="5"/>
    <n v="25"/>
  </r>
  <r>
    <n v="3332"/>
    <s v="Oscar Nogueira"/>
    <x v="1"/>
    <d v="2024-06-06T00:00:00"/>
    <x v="1"/>
    <n v="5"/>
    <x v="1"/>
    <s v="No"/>
    <x v="1"/>
    <s v="No"/>
    <n v="0"/>
    <n v="0"/>
    <n v="5"/>
  </r>
  <r>
    <n v="3333"/>
    <s v="Patrícia Alves"/>
    <x v="0"/>
    <d v="2024-06-07T00:00:00"/>
    <x v="0"/>
    <n v="15"/>
    <x v="2"/>
    <s v="Yes"/>
    <x v="0"/>
    <s v="Yes"/>
    <n v="20"/>
    <n v="20"/>
    <n v="45"/>
  </r>
  <r>
    <n v="3334"/>
    <s v="Rafaela Silva"/>
    <x v="2"/>
    <d v="2024-06-08T00:00:00"/>
    <x v="1"/>
    <n v="10"/>
    <x v="2"/>
    <s v="No"/>
    <x v="1"/>
    <s v="Yes"/>
    <n v="20"/>
    <n v="12"/>
    <n v="18"/>
  </r>
  <r>
    <n v="3335"/>
    <s v="Samantha Moraes"/>
    <x v="1"/>
    <d v="2024-06-09T00:00:00"/>
    <x v="0"/>
    <n v="5"/>
    <x v="0"/>
    <s v="No"/>
    <x v="1"/>
    <s v="No"/>
    <n v="0"/>
    <n v="2"/>
    <n v="3"/>
  </r>
  <r>
    <n v="3336"/>
    <s v="Tatiana Rocha"/>
    <x v="1"/>
    <d v="2024-06-10T00:00:00"/>
    <x v="0"/>
    <n v="5"/>
    <x v="0"/>
    <s v="No"/>
    <x v="1"/>
    <s v="No"/>
    <n v="0"/>
    <n v="0"/>
    <n v="5"/>
  </r>
  <r>
    <n v="3337"/>
    <s v="Ulisses Tavares"/>
    <x v="0"/>
    <d v="2024-06-11T00:00:00"/>
    <x v="1"/>
    <n v="15"/>
    <x v="2"/>
    <s v="Yes"/>
    <x v="0"/>
    <s v="Yes"/>
    <n v="20"/>
    <n v="7"/>
    <n v="58"/>
  </r>
  <r>
    <n v="3338"/>
    <s v="Víctor Lemos"/>
    <x v="2"/>
    <d v="2024-06-12T00:00:00"/>
    <x v="0"/>
    <n v="10"/>
    <x v="1"/>
    <s v="No"/>
    <x v="1"/>
    <s v="Yes"/>
    <n v="20"/>
    <n v="10"/>
    <n v="20"/>
  </r>
  <r>
    <n v="3339"/>
    <s v="Wilma Barros"/>
    <x v="1"/>
    <d v="2024-06-13T00:00:00"/>
    <x v="1"/>
    <n v="5"/>
    <x v="2"/>
    <s v="No"/>
    <x v="1"/>
    <s v="No"/>
    <n v="0"/>
    <n v="1"/>
    <n v="4"/>
  </r>
  <r>
    <n v="3340"/>
    <s v="Xavier Nascimento"/>
    <x v="0"/>
    <d v="2024-06-14T00:00:00"/>
    <x v="0"/>
    <n v="15"/>
    <x v="0"/>
    <s v="Yes"/>
    <x v="0"/>
    <s v="Yes"/>
    <n v="20"/>
    <n v="15"/>
    <n v="50"/>
  </r>
  <r>
    <n v="3341"/>
    <s v="Yago Pereira"/>
    <x v="2"/>
    <d v="2024-06-15T00:00:00"/>
    <x v="1"/>
    <n v="10"/>
    <x v="0"/>
    <s v="No"/>
    <x v="1"/>
    <s v="Yes"/>
    <n v="20"/>
    <n v="5"/>
    <n v="25"/>
  </r>
  <r>
    <n v="3342"/>
    <s v="Zilda Ferreira"/>
    <x v="1"/>
    <d v="2024-06-16T00:00:00"/>
    <x v="0"/>
    <n v="5"/>
    <x v="1"/>
    <s v="No"/>
    <x v="1"/>
    <s v="No"/>
    <n v="0"/>
    <n v="0"/>
    <n v="5"/>
  </r>
  <r>
    <n v="3343"/>
    <s v="Amanda Lopes"/>
    <x v="0"/>
    <d v="2024-06-17T00:00:00"/>
    <x v="1"/>
    <n v="15"/>
    <x v="2"/>
    <s v="Yes"/>
    <x v="0"/>
    <s v="Yes"/>
    <n v="20"/>
    <n v="20"/>
    <n v="45"/>
  </r>
  <r>
    <n v="3344"/>
    <s v="Bruno Miranda"/>
    <x v="2"/>
    <d v="2024-06-18T00:00:00"/>
    <x v="0"/>
    <n v="10"/>
    <x v="2"/>
    <s v="No"/>
    <x v="1"/>
    <s v="Yes"/>
    <n v="20"/>
    <n v="12"/>
    <n v="18"/>
  </r>
  <r>
    <n v="3345"/>
    <s v="Célia Torres"/>
    <x v="1"/>
    <d v="2024-06-19T00:00:00"/>
    <x v="1"/>
    <n v="5"/>
    <x v="0"/>
    <s v="No"/>
    <x v="1"/>
    <s v="No"/>
    <n v="0"/>
    <n v="2"/>
    <n v="3"/>
  </r>
  <r>
    <n v="3346"/>
    <s v="Diogo Souza"/>
    <x v="0"/>
    <d v="2024-06-20T00:00:00"/>
    <x v="0"/>
    <n v="15"/>
    <x v="1"/>
    <s v="Yes"/>
    <x v="0"/>
    <s v="Yes"/>
    <n v="20"/>
    <n v="5"/>
    <n v="60"/>
  </r>
  <r>
    <n v="3347"/>
    <s v="Elisa Castro"/>
    <x v="2"/>
    <d v="2024-06-21T00:00:00"/>
    <x v="1"/>
    <n v="10"/>
    <x v="0"/>
    <s v="No"/>
    <x v="1"/>
    <s v="Yes"/>
    <n v="20"/>
    <n v="10"/>
    <n v="20"/>
  </r>
  <r>
    <n v="3348"/>
    <s v="Fátima Lima"/>
    <x v="1"/>
    <d v="2024-06-22T00:00:00"/>
    <x v="0"/>
    <n v="5"/>
    <x v="2"/>
    <s v="No"/>
    <x v="1"/>
    <s v="No"/>
    <n v="0"/>
    <n v="0"/>
    <n v="5"/>
  </r>
  <r>
    <n v="3349"/>
    <s v="Geraldo Ribeiro"/>
    <x v="0"/>
    <d v="2024-06-23T00:00:00"/>
    <x v="1"/>
    <n v="15"/>
    <x v="0"/>
    <s v="Yes"/>
    <x v="0"/>
    <s v="Yes"/>
    <n v="20"/>
    <n v="3"/>
    <n v="62"/>
  </r>
  <r>
    <n v="3350"/>
    <s v="Hélio Martins"/>
    <x v="2"/>
    <d v="2024-06-24T00:00:00"/>
    <x v="0"/>
    <n v="10"/>
    <x v="1"/>
    <s v="No"/>
    <x v="1"/>
    <s v="Yes"/>
    <n v="20"/>
    <n v="15"/>
    <n v="15"/>
  </r>
  <r>
    <n v="3351"/>
    <s v="Íris Santos"/>
    <x v="1"/>
    <d v="2024-06-25T00:00:00"/>
    <x v="1"/>
    <n v="5"/>
    <x v="0"/>
    <s v="No"/>
    <x v="1"/>
    <s v="No"/>
    <n v="0"/>
    <n v="1"/>
    <n v="4"/>
  </r>
  <r>
    <n v="3352"/>
    <s v="João Marcelo"/>
    <x v="0"/>
    <d v="2024-06-26T00:00:00"/>
    <x v="0"/>
    <n v="15"/>
    <x v="2"/>
    <s v="Yes"/>
    <x v="0"/>
    <s v="Yes"/>
    <n v="20"/>
    <n v="7"/>
    <n v="58"/>
  </r>
  <r>
    <n v="3353"/>
    <s v="Larissa Gomes"/>
    <x v="2"/>
    <d v="2024-06-27T00:00:00"/>
    <x v="1"/>
    <n v="10"/>
    <x v="0"/>
    <s v="No"/>
    <x v="1"/>
    <s v="Yes"/>
    <n v="20"/>
    <n v="10"/>
    <n v="20"/>
  </r>
  <r>
    <n v="3354"/>
    <s v="Márcio Silva"/>
    <x v="1"/>
    <d v="2024-06-28T00:00:00"/>
    <x v="0"/>
    <n v="5"/>
    <x v="1"/>
    <s v="No"/>
    <x v="1"/>
    <s v="No"/>
    <n v="0"/>
    <n v="0"/>
    <n v="5"/>
  </r>
  <r>
    <n v="3355"/>
    <s v="Nadia Costa"/>
    <x v="0"/>
    <d v="2024-06-29T00:00:00"/>
    <x v="1"/>
    <n v="15"/>
    <x v="0"/>
    <s v="Yes"/>
    <x v="0"/>
    <s v="Yes"/>
    <n v="20"/>
    <n v="20"/>
    <n v="45"/>
  </r>
  <r>
    <n v="3356"/>
    <s v="Oscar Almeida"/>
    <x v="2"/>
    <d v="2024-06-30T00:00:00"/>
    <x v="0"/>
    <n v="10"/>
    <x v="2"/>
    <s v="No"/>
    <x v="1"/>
    <s v="Yes"/>
    <n v="20"/>
    <n v="15"/>
    <n v="15"/>
  </r>
  <r>
    <n v="3357"/>
    <s v="Patricia Soares"/>
    <x v="1"/>
    <d v="2024-07-01T00:00:00"/>
    <x v="1"/>
    <n v="5"/>
    <x v="0"/>
    <s v="No"/>
    <x v="1"/>
    <s v="No"/>
    <n v="0"/>
    <n v="1"/>
    <n v="4"/>
  </r>
  <r>
    <n v="3358"/>
    <s v="Quênia Barros"/>
    <x v="0"/>
    <d v="2024-07-02T00:00:00"/>
    <x v="0"/>
    <n v="15"/>
    <x v="1"/>
    <s v="Yes"/>
    <x v="0"/>
    <s v="Yes"/>
    <n v="20"/>
    <n v="3"/>
    <n v="62"/>
  </r>
  <r>
    <n v="3359"/>
    <s v="Rafael Torres"/>
    <x v="2"/>
    <d v="2024-07-03T00:00:00"/>
    <x v="1"/>
    <n v="10"/>
    <x v="0"/>
    <s v="No"/>
    <x v="1"/>
    <s v="Yes"/>
    <n v="20"/>
    <n v="10"/>
    <n v="20"/>
  </r>
  <r>
    <n v="3360"/>
    <s v="Silvia Nascimento"/>
    <x v="1"/>
    <d v="2024-07-04T00:00:00"/>
    <x v="0"/>
    <n v="5"/>
    <x v="2"/>
    <s v="No"/>
    <x v="1"/>
    <s v="No"/>
    <n v="0"/>
    <n v="0"/>
    <n v="5"/>
  </r>
  <r>
    <n v="3361"/>
    <s v="Tiago Mendes"/>
    <x v="0"/>
    <d v="2024-07-05T00:00:00"/>
    <x v="1"/>
    <n v="15"/>
    <x v="0"/>
    <s v="Yes"/>
    <x v="0"/>
    <s v="Yes"/>
    <n v="20"/>
    <n v="15"/>
    <n v="50"/>
  </r>
  <r>
    <n v="3362"/>
    <s v="Ursula Silva"/>
    <x v="2"/>
    <d v="2024-07-06T00:00:00"/>
    <x v="0"/>
    <n v="10"/>
    <x v="1"/>
    <s v="No"/>
    <x v="1"/>
    <s v="Yes"/>
    <n v="20"/>
    <n v="15"/>
    <n v="15"/>
  </r>
  <r>
    <n v="3363"/>
    <s v="Vanessa Moraes"/>
    <x v="1"/>
    <d v="2024-07-07T00:00:00"/>
    <x v="1"/>
    <n v="5"/>
    <x v="0"/>
    <s v="No"/>
    <x v="1"/>
    <s v="No"/>
    <n v="0"/>
    <n v="1"/>
    <n v="4"/>
  </r>
  <r>
    <n v="3364"/>
    <s v="Waldir Junior"/>
    <x v="0"/>
    <d v="2024-07-08T00:00:00"/>
    <x v="0"/>
    <n v="15"/>
    <x v="2"/>
    <s v="Yes"/>
    <x v="0"/>
    <s v="Yes"/>
    <n v="20"/>
    <n v="7"/>
    <n v="58"/>
  </r>
  <r>
    <n v="3365"/>
    <s v="Xavier Lopes"/>
    <x v="2"/>
    <d v="2024-07-09T00:00:00"/>
    <x v="1"/>
    <n v="10"/>
    <x v="0"/>
    <s v="No"/>
    <x v="1"/>
    <s v="Yes"/>
    <n v="20"/>
    <n v="10"/>
    <n v="20"/>
  </r>
  <r>
    <n v="3366"/>
    <s v="Yolanda Freitas"/>
    <x v="1"/>
    <d v="2024-07-10T00:00:00"/>
    <x v="0"/>
    <n v="5"/>
    <x v="0"/>
    <s v="No"/>
    <x v="1"/>
    <s v="No"/>
    <n v="0"/>
    <n v="0"/>
    <n v="5"/>
  </r>
  <r>
    <n v="3367"/>
    <s v="Zacarias Nunes"/>
    <x v="0"/>
    <d v="2024-07-11T00:00:00"/>
    <x v="1"/>
    <n v="15"/>
    <x v="2"/>
    <s v="Yes"/>
    <x v="0"/>
    <s v="Yes"/>
    <n v="20"/>
    <n v="7"/>
    <n v="58"/>
  </r>
  <r>
    <n v="3368"/>
    <s v="Ana Clara Barreto"/>
    <x v="2"/>
    <d v="2024-07-12T00:00:00"/>
    <x v="0"/>
    <n v="10"/>
    <x v="1"/>
    <s v="No"/>
    <x v="1"/>
    <s v="Yes"/>
    <n v="20"/>
    <n v="10"/>
    <n v="20"/>
  </r>
  <r>
    <n v="3369"/>
    <s v="Bruno Henrique"/>
    <x v="1"/>
    <d v="2024-07-13T00:00:00"/>
    <x v="1"/>
    <n v="5"/>
    <x v="2"/>
    <s v="No"/>
    <x v="1"/>
    <s v="No"/>
    <n v="0"/>
    <n v="1"/>
    <n v="4"/>
  </r>
  <r>
    <n v="3370"/>
    <s v="Carlos Eduardo"/>
    <x v="0"/>
    <d v="2024-07-14T00:00:00"/>
    <x v="0"/>
    <n v="15"/>
    <x v="0"/>
    <s v="Yes"/>
    <x v="0"/>
    <s v="Yes"/>
    <n v="20"/>
    <n v="15"/>
    <n v="50"/>
  </r>
  <r>
    <n v="3371"/>
    <s v="Débora Lima"/>
    <x v="2"/>
    <d v="2024-07-15T00:00:00"/>
    <x v="1"/>
    <n v="10"/>
    <x v="0"/>
    <s v="No"/>
    <x v="1"/>
    <s v="Yes"/>
    <n v="20"/>
    <n v="5"/>
    <n v="25"/>
  </r>
  <r>
    <n v="3372"/>
    <s v="Elisa Neves"/>
    <x v="1"/>
    <d v="2024-07-16T00:00:00"/>
    <x v="0"/>
    <n v="5"/>
    <x v="1"/>
    <s v="No"/>
    <x v="1"/>
    <s v="No"/>
    <n v="0"/>
    <n v="0"/>
    <n v="5"/>
  </r>
  <r>
    <n v="3373"/>
    <s v="Fabiano Gomes"/>
    <x v="0"/>
    <d v="2024-07-17T00:00:00"/>
    <x v="1"/>
    <n v="15"/>
    <x v="2"/>
    <s v="Yes"/>
    <x v="0"/>
    <s v="Yes"/>
    <n v="20"/>
    <n v="20"/>
    <n v="45"/>
  </r>
  <r>
    <n v="3374"/>
    <s v="Gisele Oliveira"/>
    <x v="2"/>
    <d v="2024-07-18T00:00:00"/>
    <x v="0"/>
    <n v="10"/>
    <x v="2"/>
    <s v="No"/>
    <x v="1"/>
    <s v="Yes"/>
    <n v="20"/>
    <n v="12"/>
    <n v="18"/>
  </r>
  <r>
    <n v="3375"/>
    <s v="Héctor Silva"/>
    <x v="1"/>
    <d v="2024-07-19T00:00:00"/>
    <x v="1"/>
    <n v="5"/>
    <x v="0"/>
    <s v="No"/>
    <x v="1"/>
    <s v="No"/>
    <n v="0"/>
    <n v="2"/>
    <n v="3"/>
  </r>
  <r>
    <n v="3376"/>
    <s v="Igor Martins"/>
    <x v="0"/>
    <d v="2024-07-20T00:00:00"/>
    <x v="0"/>
    <n v="15"/>
    <x v="1"/>
    <s v="Yes"/>
    <x v="0"/>
    <s v="Yes"/>
    <n v="20"/>
    <n v="5"/>
    <n v="60"/>
  </r>
  <r>
    <n v="3377"/>
    <s v="Joana Figueiredo"/>
    <x v="2"/>
    <d v="2024-07-21T00:00:00"/>
    <x v="1"/>
    <n v="10"/>
    <x v="0"/>
    <s v="No"/>
    <x v="1"/>
    <s v="Yes"/>
    <n v="20"/>
    <n v="10"/>
    <n v="20"/>
  </r>
  <r>
    <n v="3378"/>
    <s v="Kleber Machado"/>
    <x v="1"/>
    <d v="2024-07-22T00:00:00"/>
    <x v="0"/>
    <n v="5"/>
    <x v="2"/>
    <s v="No"/>
    <x v="1"/>
    <s v="No"/>
    <n v="0"/>
    <n v="0"/>
    <n v="5"/>
  </r>
  <r>
    <n v="3379"/>
    <s v="Luciana Santos"/>
    <x v="0"/>
    <d v="2024-07-23T00:00:00"/>
    <x v="1"/>
    <n v="15"/>
    <x v="0"/>
    <s v="Yes"/>
    <x v="0"/>
    <s v="Yes"/>
    <n v="20"/>
    <n v="3"/>
    <n v="62"/>
  </r>
  <r>
    <n v="3380"/>
    <s v="Marcos Teixeira"/>
    <x v="2"/>
    <d v="2024-07-24T00:00:00"/>
    <x v="0"/>
    <n v="10"/>
    <x v="1"/>
    <s v="No"/>
    <x v="1"/>
    <s v="Yes"/>
    <n v="20"/>
    <n v="15"/>
    <n v="15"/>
  </r>
  <r>
    <n v="3381"/>
    <s v="Natalia Costa"/>
    <x v="1"/>
    <d v="2024-07-25T00:00:00"/>
    <x v="1"/>
    <n v="5"/>
    <x v="0"/>
    <s v="No"/>
    <x v="1"/>
    <s v="No"/>
    <n v="0"/>
    <n v="1"/>
    <n v="4"/>
  </r>
  <r>
    <n v="3382"/>
    <s v="Oscar Ribeiro"/>
    <x v="0"/>
    <d v="2024-07-26T00:00:00"/>
    <x v="0"/>
    <n v="15"/>
    <x v="2"/>
    <s v="Yes"/>
    <x v="0"/>
    <s v="Yes"/>
    <n v="20"/>
    <n v="7"/>
    <n v="58"/>
  </r>
  <r>
    <n v="3383"/>
    <s v="Patricia Almeida"/>
    <x v="2"/>
    <d v="2024-07-27T00:00:00"/>
    <x v="1"/>
    <n v="10"/>
    <x v="0"/>
    <s v="No"/>
    <x v="1"/>
    <s v="Yes"/>
    <n v="20"/>
    <n v="10"/>
    <n v="20"/>
  </r>
  <r>
    <n v="3384"/>
    <s v="Quirino Junior"/>
    <x v="1"/>
    <d v="2024-07-28T00:00:00"/>
    <x v="0"/>
    <n v="5"/>
    <x v="1"/>
    <s v="No"/>
    <x v="1"/>
    <s v="No"/>
    <n v="0"/>
    <n v="0"/>
    <n v="5"/>
  </r>
  <r>
    <n v="3385"/>
    <s v="Renata Machado"/>
    <x v="0"/>
    <d v="2024-07-29T00:00:00"/>
    <x v="1"/>
    <n v="15"/>
    <x v="0"/>
    <s v="Yes"/>
    <x v="0"/>
    <s v="Yes"/>
    <n v="20"/>
    <n v="20"/>
    <n v="45"/>
  </r>
  <r>
    <n v="3386"/>
    <s v="Sônia Alves"/>
    <x v="2"/>
    <d v="2024-07-30T00:00:00"/>
    <x v="0"/>
    <n v="10"/>
    <x v="2"/>
    <s v="No"/>
    <x v="1"/>
    <s v="Yes"/>
    <n v="20"/>
    <n v="15"/>
    <n v="15"/>
  </r>
  <r>
    <n v="3387"/>
    <s v="Tiago Nunes"/>
    <x v="1"/>
    <d v="2024-07-31T00:00:00"/>
    <x v="1"/>
    <n v="5"/>
    <x v="0"/>
    <s v="No"/>
    <x v="1"/>
    <s v="No"/>
    <n v="0"/>
    <n v="1"/>
    <n v="4"/>
  </r>
  <r>
    <n v="3388"/>
    <s v="Ulysses Pereira"/>
    <x v="0"/>
    <d v="2024-08-01T00:00:00"/>
    <x v="0"/>
    <n v="15"/>
    <x v="1"/>
    <s v="Yes"/>
    <x v="0"/>
    <s v="Yes"/>
    <n v="20"/>
    <n v="3"/>
    <n v="62"/>
  </r>
  <r>
    <n v="3389"/>
    <s v="Vanessa Lima"/>
    <x v="2"/>
    <d v="2024-08-02T00:00:00"/>
    <x v="1"/>
    <n v="10"/>
    <x v="0"/>
    <s v="No"/>
    <x v="1"/>
    <s v="Yes"/>
    <n v="20"/>
    <n v="10"/>
    <n v="20"/>
  </r>
  <r>
    <n v="3390"/>
    <s v="Wagner Santos"/>
    <x v="1"/>
    <d v="2024-08-03T00:00:00"/>
    <x v="0"/>
    <n v="5"/>
    <x v="2"/>
    <s v="No"/>
    <x v="1"/>
    <s v="No"/>
    <n v="0"/>
    <n v="0"/>
    <n v="5"/>
  </r>
  <r>
    <n v="3391"/>
    <s v="Xuxa Meneghel"/>
    <x v="0"/>
    <d v="2024-08-04T00:00:00"/>
    <x v="1"/>
    <n v="15"/>
    <x v="0"/>
    <s v="Yes"/>
    <x v="0"/>
    <s v="Yes"/>
    <n v="20"/>
    <n v="15"/>
    <n v="50"/>
  </r>
  <r>
    <n v="3392"/>
    <s v="Yasmin Silva"/>
    <x v="2"/>
    <d v="2024-08-05T00:00:00"/>
    <x v="0"/>
    <n v="10"/>
    <x v="1"/>
    <s v="No"/>
    <x v="1"/>
    <s v="Yes"/>
    <n v="20"/>
    <n v="15"/>
    <n v="15"/>
  </r>
  <r>
    <n v="3393"/>
    <s v="Zacarias de Souza"/>
    <x v="1"/>
    <d v="2024-08-06T00:00:00"/>
    <x v="1"/>
    <n v="5"/>
    <x v="0"/>
    <s v="No"/>
    <x v="1"/>
    <s v="No"/>
    <n v="0"/>
    <n v="1"/>
    <n v="4"/>
  </r>
  <r>
    <n v="3394"/>
    <s v="André Lima"/>
    <x v="0"/>
    <d v="2024-08-07T00:00:00"/>
    <x v="0"/>
    <n v="15"/>
    <x v="2"/>
    <s v="Yes"/>
    <x v="0"/>
    <s v="Yes"/>
    <n v="20"/>
    <n v="7"/>
    <n v="58"/>
  </r>
  <r>
    <n v="3395"/>
    <s v="Bianca Freitas"/>
    <x v="2"/>
    <d v="2024-08-08T00:00:00"/>
    <x v="1"/>
    <n v="10"/>
    <x v="0"/>
    <s v="No"/>
    <x v="1"/>
    <s v="Yes"/>
    <n v="20"/>
    <n v="10"/>
    <n v="20"/>
  </r>
  <r>
    <n v="3396"/>
    <s v="Caio Mendes"/>
    <x v="1"/>
    <d v="2024-08-09T00:00:00"/>
    <x v="0"/>
    <n v="5"/>
    <x v="1"/>
    <s v="No"/>
    <x v="1"/>
    <s v="No"/>
    <n v="0"/>
    <n v="0"/>
    <n v="5"/>
  </r>
  <r>
    <n v="3397"/>
    <s v="Daniela Moura"/>
    <x v="0"/>
    <d v="2024-08-10T00:00:00"/>
    <x v="1"/>
    <n v="15"/>
    <x v="0"/>
    <s v="Yes"/>
    <x v="0"/>
    <s v="Yes"/>
    <n v="20"/>
    <n v="20"/>
    <n v="45"/>
  </r>
  <r>
    <n v="3398"/>
    <s v="Eduardo Costa"/>
    <x v="2"/>
    <d v="2024-08-11T00:00:00"/>
    <x v="0"/>
    <n v="10"/>
    <x v="2"/>
    <s v="No"/>
    <x v="1"/>
    <s v="Yes"/>
    <n v="20"/>
    <n v="15"/>
    <n v="15"/>
  </r>
  <r>
    <n v="3399"/>
    <s v="Fernanda Gomes"/>
    <x v="1"/>
    <d v="2024-08-12T00:00:00"/>
    <x v="1"/>
    <n v="5"/>
    <x v="0"/>
    <s v="No"/>
    <x v="1"/>
    <s v="No"/>
    <n v="0"/>
    <n v="1"/>
    <n v="4"/>
  </r>
  <r>
    <n v="3400"/>
    <s v="Guilherme Souza"/>
    <x v="0"/>
    <d v="2024-08-13T00:00:00"/>
    <x v="0"/>
    <n v="15"/>
    <x v="1"/>
    <s v="Yes"/>
    <x v="0"/>
    <s v="Yes"/>
    <n v="20"/>
    <n v="5"/>
    <n v="60"/>
  </r>
  <r>
    <n v="3401"/>
    <s v="Helena Ribeiro"/>
    <x v="2"/>
    <d v="2024-08-14T00:00:00"/>
    <x v="1"/>
    <n v="10"/>
    <x v="0"/>
    <s v="No"/>
    <x v="1"/>
    <s v="Yes"/>
    <n v="20"/>
    <n v="10"/>
    <n v="20"/>
  </r>
  <r>
    <n v="3402"/>
    <s v="Igor Santos"/>
    <x v="1"/>
    <d v="2024-08-15T00:00:00"/>
    <x v="0"/>
    <n v="5"/>
    <x v="2"/>
    <s v="No"/>
    <x v="1"/>
    <s v="No"/>
    <n v="0"/>
    <n v="0"/>
    <n v="5"/>
  </r>
  <r>
    <n v="3403"/>
    <s v="João Carvalho"/>
    <x v="0"/>
    <d v="2024-08-16T00:00:00"/>
    <x v="1"/>
    <n v="15"/>
    <x v="0"/>
    <s v="Yes"/>
    <x v="0"/>
    <s v="Yes"/>
    <n v="20"/>
    <n v="3"/>
    <n v="62"/>
  </r>
  <r>
    <n v="3404"/>
    <s v="Klara Fagundes"/>
    <x v="2"/>
    <d v="2024-08-17T00:00:00"/>
    <x v="0"/>
    <n v="10"/>
    <x v="1"/>
    <s v="No"/>
    <x v="1"/>
    <s v="Yes"/>
    <n v="20"/>
    <n v="15"/>
    <n v="15"/>
  </r>
  <r>
    <n v="3405"/>
    <s v="Lúcia Mendonça"/>
    <x v="1"/>
    <d v="2024-08-18T00:00:00"/>
    <x v="1"/>
    <n v="5"/>
    <x v="0"/>
    <s v="No"/>
    <x v="1"/>
    <s v="No"/>
    <n v="0"/>
    <n v="1"/>
    <n v="4"/>
  </r>
  <r>
    <n v="3406"/>
    <s v="Marcelo Novaes"/>
    <x v="1"/>
    <d v="2024-08-19T00:00:00"/>
    <x v="0"/>
    <n v="5"/>
    <x v="0"/>
    <s v="No"/>
    <x v="1"/>
    <s v="No"/>
    <n v="0"/>
    <n v="0"/>
    <n v="5"/>
  </r>
  <r>
    <n v="3407"/>
    <s v="Nina Pacheco"/>
    <x v="0"/>
    <d v="2024-08-20T00:00:00"/>
    <x v="1"/>
    <n v="15"/>
    <x v="2"/>
    <s v="Yes"/>
    <x v="0"/>
    <s v="Yes"/>
    <n v="20"/>
    <n v="7"/>
    <n v="58"/>
  </r>
  <r>
    <n v="3408"/>
    <s v="Olívia Rios"/>
    <x v="2"/>
    <d v="2024-08-21T00:00:00"/>
    <x v="0"/>
    <n v="10"/>
    <x v="1"/>
    <s v="No"/>
    <x v="1"/>
    <s v="Yes"/>
    <n v="20"/>
    <n v="10"/>
    <n v="20"/>
  </r>
  <r>
    <n v="3409"/>
    <s v="Paulo Quintana"/>
    <x v="1"/>
    <d v="2024-08-22T00:00:00"/>
    <x v="1"/>
    <n v="5"/>
    <x v="2"/>
    <s v="No"/>
    <x v="1"/>
    <s v="No"/>
    <n v="0"/>
    <n v="1"/>
    <n v="4"/>
  </r>
  <r>
    <n v="3410"/>
    <s v="Raquel Domingos"/>
    <x v="0"/>
    <d v="2024-08-23T00:00:00"/>
    <x v="0"/>
    <n v="15"/>
    <x v="0"/>
    <s v="Yes"/>
    <x v="0"/>
    <s v="Yes"/>
    <n v="20"/>
    <n v="15"/>
    <n v="50"/>
  </r>
  <r>
    <n v="3411"/>
    <s v="Samuel Viana"/>
    <x v="2"/>
    <d v="2024-08-24T00:00:00"/>
    <x v="1"/>
    <n v="10"/>
    <x v="0"/>
    <s v="No"/>
    <x v="1"/>
    <s v="Yes"/>
    <n v="20"/>
    <n v="5"/>
    <n v="25"/>
  </r>
  <r>
    <n v="3412"/>
    <s v="Tatiane Rocha"/>
    <x v="1"/>
    <d v="2024-08-25T00:00:00"/>
    <x v="0"/>
    <n v="5"/>
    <x v="1"/>
    <s v="No"/>
    <x v="1"/>
    <s v="No"/>
    <n v="0"/>
    <n v="0"/>
    <n v="5"/>
  </r>
  <r>
    <n v="3413"/>
    <s v="Ulysses Farias"/>
    <x v="0"/>
    <d v="2024-08-26T00:00:00"/>
    <x v="1"/>
    <n v="15"/>
    <x v="2"/>
    <s v="Yes"/>
    <x v="0"/>
    <s v="Yes"/>
    <n v="20"/>
    <n v="20"/>
    <n v="45"/>
  </r>
  <r>
    <n v="3414"/>
    <s v="Vanessa Moreira"/>
    <x v="2"/>
    <d v="2024-08-27T00:00:00"/>
    <x v="0"/>
    <n v="10"/>
    <x v="2"/>
    <s v="No"/>
    <x v="1"/>
    <s v="Yes"/>
    <n v="20"/>
    <n v="12"/>
    <n v="18"/>
  </r>
  <r>
    <n v="3415"/>
    <s v="William Carvalho"/>
    <x v="1"/>
    <d v="2024-08-28T00:00:00"/>
    <x v="1"/>
    <n v="5"/>
    <x v="0"/>
    <s v="No"/>
    <x v="1"/>
    <s v="No"/>
    <n v="0"/>
    <n v="2"/>
    <n v="3"/>
  </r>
  <r>
    <n v="3416"/>
    <s v="Ximena Barros"/>
    <x v="0"/>
    <d v="2024-08-29T00:00:00"/>
    <x v="0"/>
    <n v="15"/>
    <x v="1"/>
    <s v="Yes"/>
    <x v="0"/>
    <s v="Yes"/>
    <n v="20"/>
    <n v="5"/>
    <n v="60"/>
  </r>
  <r>
    <n v="3417"/>
    <s v="Yara Machado"/>
    <x v="2"/>
    <d v="2024-08-30T00:00:00"/>
    <x v="1"/>
    <n v="10"/>
    <x v="0"/>
    <s v="No"/>
    <x v="1"/>
    <s v="Yes"/>
    <n v="20"/>
    <n v="10"/>
    <n v="20"/>
  </r>
  <r>
    <n v="3418"/>
    <s v="Zacarias Costa"/>
    <x v="1"/>
    <d v="2024-08-31T00:00:00"/>
    <x v="0"/>
    <n v="5"/>
    <x v="2"/>
    <s v="No"/>
    <x v="1"/>
    <s v="No"/>
    <n v="0"/>
    <n v="0"/>
    <n v="5"/>
  </r>
  <r>
    <n v="3419"/>
    <s v="André Lopes"/>
    <x v="0"/>
    <d v="2024-09-01T00:00:00"/>
    <x v="1"/>
    <n v="15"/>
    <x v="0"/>
    <s v="Yes"/>
    <x v="0"/>
    <s v="Yes"/>
    <n v="20"/>
    <n v="3"/>
    <n v="62"/>
  </r>
  <r>
    <n v="3420"/>
    <s v="Beatriz Souza"/>
    <x v="2"/>
    <d v="2024-09-02T00:00:00"/>
    <x v="0"/>
    <n v="10"/>
    <x v="1"/>
    <s v="No"/>
    <x v="1"/>
    <s v="Yes"/>
    <n v="20"/>
    <n v="15"/>
    <n v="15"/>
  </r>
  <r>
    <n v="3421"/>
    <s v="Caio Pereira"/>
    <x v="1"/>
    <d v="2024-09-03T00:00:00"/>
    <x v="1"/>
    <n v="5"/>
    <x v="0"/>
    <s v="No"/>
    <x v="1"/>
    <s v="No"/>
    <n v="0"/>
    <n v="1"/>
    <n v="4"/>
  </r>
  <r>
    <n v="3422"/>
    <s v="Daniela Araújo"/>
    <x v="0"/>
    <d v="2024-09-04T00:00:00"/>
    <x v="0"/>
    <n v="15"/>
    <x v="2"/>
    <s v="Yes"/>
    <x v="0"/>
    <s v="Yes"/>
    <n v="20"/>
    <n v="7"/>
    <n v="58"/>
  </r>
  <r>
    <n v="3423"/>
    <s v="Eduardo Santos"/>
    <x v="2"/>
    <d v="2024-09-05T00:00:00"/>
    <x v="1"/>
    <n v="10"/>
    <x v="0"/>
    <s v="No"/>
    <x v="1"/>
    <s v="Yes"/>
    <n v="20"/>
    <n v="10"/>
    <n v="20"/>
  </r>
  <r>
    <n v="3424"/>
    <s v="Fernanda Lima"/>
    <x v="1"/>
    <d v="2024-09-06T00:00:00"/>
    <x v="0"/>
    <n v="5"/>
    <x v="1"/>
    <s v="No"/>
    <x v="1"/>
    <s v="No"/>
    <n v="0"/>
    <n v="0"/>
    <n v="5"/>
  </r>
  <r>
    <n v="3425"/>
    <s v="Gabriel Teixeira"/>
    <x v="0"/>
    <d v="2024-09-07T00:00:00"/>
    <x v="1"/>
    <n v="15"/>
    <x v="0"/>
    <s v="Yes"/>
    <x v="0"/>
    <s v="Yes"/>
    <n v="20"/>
    <n v="20"/>
    <n v="45"/>
  </r>
  <r>
    <n v="3426"/>
    <s v="Helena Ribeiro"/>
    <x v="2"/>
    <d v="2024-09-08T00:00:00"/>
    <x v="0"/>
    <n v="10"/>
    <x v="2"/>
    <s v="No"/>
    <x v="1"/>
    <s v="Yes"/>
    <n v="20"/>
    <n v="15"/>
    <n v="15"/>
  </r>
  <r>
    <n v="3427"/>
    <s v="Igor Mendes"/>
    <x v="1"/>
    <d v="2024-09-09T00:00:00"/>
    <x v="1"/>
    <n v="5"/>
    <x v="0"/>
    <s v="No"/>
    <x v="1"/>
    <s v="No"/>
    <n v="0"/>
    <n v="1"/>
    <n v="4"/>
  </r>
  <r>
    <n v="3428"/>
    <s v="Joana Silveira"/>
    <x v="0"/>
    <d v="2024-09-10T00:00:00"/>
    <x v="0"/>
    <n v="15"/>
    <x v="1"/>
    <s v="Yes"/>
    <x v="0"/>
    <s v="Yes"/>
    <n v="20"/>
    <n v="3"/>
    <n v="62"/>
  </r>
  <r>
    <n v="3429"/>
    <s v="Lucas Martins"/>
    <x v="2"/>
    <d v="2024-09-11T00:00:00"/>
    <x v="1"/>
    <n v="10"/>
    <x v="0"/>
    <s v="No"/>
    <x v="1"/>
    <s v="Yes"/>
    <n v="20"/>
    <n v="10"/>
    <n v="20"/>
  </r>
  <r>
    <n v="3430"/>
    <s v="Marcela Gouveia"/>
    <x v="1"/>
    <d v="2024-09-12T00:00:00"/>
    <x v="0"/>
    <n v="5"/>
    <x v="2"/>
    <s v="No"/>
    <x v="1"/>
    <s v="No"/>
    <n v="0"/>
    <n v="0"/>
    <n v="5"/>
  </r>
  <r>
    <n v="3431"/>
    <s v="Nicolas Borges"/>
    <x v="0"/>
    <d v="2024-09-13T00:00:00"/>
    <x v="1"/>
    <n v="15"/>
    <x v="0"/>
    <s v="Yes"/>
    <x v="0"/>
    <s v="Yes"/>
    <n v="20"/>
    <n v="15"/>
    <n v="50"/>
  </r>
  <r>
    <n v="3432"/>
    <s v="Olivia Freitas"/>
    <x v="2"/>
    <d v="2024-09-14T00:00:00"/>
    <x v="0"/>
    <n v="10"/>
    <x v="1"/>
    <s v="No"/>
    <x v="1"/>
    <s v="Yes"/>
    <n v="20"/>
    <n v="15"/>
    <n v="15"/>
  </r>
  <r>
    <n v="3433"/>
    <s v="Paulo Nogueira"/>
    <x v="1"/>
    <d v="2024-09-15T00:00:00"/>
    <x v="1"/>
    <n v="5"/>
    <x v="0"/>
    <s v="No"/>
    <x v="1"/>
    <s v="No"/>
    <n v="0"/>
    <n v="1"/>
    <n v="4"/>
  </r>
  <r>
    <n v="3434"/>
    <s v="Raquel Andrade"/>
    <x v="0"/>
    <d v="2024-09-16T00:00:00"/>
    <x v="0"/>
    <n v="15"/>
    <x v="2"/>
    <s v="Yes"/>
    <x v="0"/>
    <s v="Yes"/>
    <n v="20"/>
    <n v="7"/>
    <n v="58"/>
  </r>
  <r>
    <n v="3435"/>
    <s v="Sônia Carvalho"/>
    <x v="2"/>
    <d v="2024-09-17T00:00:00"/>
    <x v="1"/>
    <n v="10"/>
    <x v="0"/>
    <s v="No"/>
    <x v="1"/>
    <s v="Yes"/>
    <n v="20"/>
    <n v="10"/>
    <n v="20"/>
  </r>
  <r>
    <n v="3436"/>
    <s v="Tiago Rodrigues"/>
    <x v="1"/>
    <d v="2024-09-18T00:00:00"/>
    <x v="0"/>
    <n v="5"/>
    <x v="0"/>
    <s v="No"/>
    <x v="1"/>
    <s v="No"/>
    <n v="0"/>
    <n v="0"/>
    <n v="5"/>
  </r>
  <r>
    <n v="3437"/>
    <s v="Ursula Monteiro"/>
    <x v="0"/>
    <d v="2024-09-19T00:00:00"/>
    <x v="1"/>
    <n v="15"/>
    <x v="2"/>
    <s v="Yes"/>
    <x v="0"/>
    <s v="Yes"/>
    <n v="20"/>
    <n v="7"/>
    <n v="58"/>
  </r>
  <r>
    <n v="3438"/>
    <s v="Vanessa Pereira"/>
    <x v="2"/>
    <d v="2024-09-20T00:00:00"/>
    <x v="0"/>
    <n v="10"/>
    <x v="1"/>
    <s v="No"/>
    <x v="1"/>
    <s v="Yes"/>
    <n v="20"/>
    <n v="10"/>
    <n v="20"/>
  </r>
  <r>
    <n v="3439"/>
    <s v="Walter Silva"/>
    <x v="1"/>
    <d v="2024-09-21T00:00:00"/>
    <x v="1"/>
    <n v="5"/>
    <x v="2"/>
    <s v="No"/>
    <x v="1"/>
    <s v="No"/>
    <n v="0"/>
    <n v="1"/>
    <n v="4"/>
  </r>
  <r>
    <n v="3440"/>
    <s v="Xavier Almeida"/>
    <x v="0"/>
    <d v="2024-09-22T00:00:00"/>
    <x v="0"/>
    <n v="15"/>
    <x v="0"/>
    <s v="Yes"/>
    <x v="0"/>
    <s v="Yes"/>
    <n v="20"/>
    <n v="15"/>
    <n v="50"/>
  </r>
  <r>
    <n v="3441"/>
    <s v="Yasmine Correia"/>
    <x v="2"/>
    <d v="2024-09-23T00:00:00"/>
    <x v="1"/>
    <n v="10"/>
    <x v="0"/>
    <s v="No"/>
    <x v="1"/>
    <s v="Yes"/>
    <n v="20"/>
    <n v="5"/>
    <n v="25"/>
  </r>
  <r>
    <n v="3442"/>
    <s v="Zacarias Almeida"/>
    <x v="1"/>
    <d v="2024-09-24T00:00:00"/>
    <x v="0"/>
    <n v="5"/>
    <x v="1"/>
    <s v="No"/>
    <x v="1"/>
    <s v="No"/>
    <n v="0"/>
    <n v="0"/>
    <n v="5"/>
  </r>
  <r>
    <n v="3443"/>
    <s v="Amanda Costa"/>
    <x v="0"/>
    <d v="2024-09-25T00:00:00"/>
    <x v="1"/>
    <n v="15"/>
    <x v="2"/>
    <s v="Yes"/>
    <x v="0"/>
    <s v="Yes"/>
    <n v="20"/>
    <n v="20"/>
    <n v="45"/>
  </r>
  <r>
    <n v="3444"/>
    <s v="Bruno Ferreira"/>
    <x v="2"/>
    <d v="2024-09-26T00:00:00"/>
    <x v="0"/>
    <n v="10"/>
    <x v="2"/>
    <s v="No"/>
    <x v="1"/>
    <s v="Yes"/>
    <n v="20"/>
    <n v="12"/>
    <n v="18"/>
  </r>
  <r>
    <n v="3445"/>
    <s v="Carla Dias"/>
    <x v="1"/>
    <d v="2024-09-27T00:00:00"/>
    <x v="1"/>
    <n v="5"/>
    <x v="0"/>
    <s v="No"/>
    <x v="1"/>
    <s v="No"/>
    <n v="0"/>
    <n v="2"/>
    <n v="3"/>
  </r>
  <r>
    <n v="3446"/>
    <s v="Diogo Martins"/>
    <x v="0"/>
    <d v="2024-09-28T00:00:00"/>
    <x v="0"/>
    <n v="15"/>
    <x v="1"/>
    <s v="Yes"/>
    <x v="0"/>
    <s v="Yes"/>
    <n v="20"/>
    <n v="5"/>
    <n v="60"/>
  </r>
  <r>
    <n v="3447"/>
    <s v="Elisa Campos"/>
    <x v="2"/>
    <d v="2024-09-29T00:00:00"/>
    <x v="1"/>
    <n v="10"/>
    <x v="0"/>
    <s v="No"/>
    <x v="1"/>
    <s v="Yes"/>
    <n v="20"/>
    <n v="10"/>
    <n v="20"/>
  </r>
  <r>
    <n v="3448"/>
    <s v="Fabiana Lima"/>
    <x v="1"/>
    <d v="2024-09-30T00:00:00"/>
    <x v="0"/>
    <n v="5"/>
    <x v="2"/>
    <s v="No"/>
    <x v="1"/>
    <s v="No"/>
    <n v="0"/>
    <n v="0"/>
    <n v="5"/>
  </r>
  <r>
    <n v="3449"/>
    <s v="Gabriel Santos"/>
    <x v="0"/>
    <d v="2024-10-01T00:00:00"/>
    <x v="1"/>
    <n v="15"/>
    <x v="0"/>
    <s v="Yes"/>
    <x v="0"/>
    <s v="Yes"/>
    <n v="20"/>
    <n v="3"/>
    <n v="62"/>
  </r>
  <r>
    <n v="3450"/>
    <s v="Helena Ferreira"/>
    <x v="2"/>
    <d v="2024-10-02T00:00:00"/>
    <x v="0"/>
    <n v="10"/>
    <x v="1"/>
    <s v="No"/>
    <x v="1"/>
    <s v="Yes"/>
    <n v="20"/>
    <n v="15"/>
    <n v="15"/>
  </r>
  <r>
    <n v="3451"/>
    <s v="Ígor Nunes"/>
    <x v="1"/>
    <d v="2024-10-03T00:00:00"/>
    <x v="1"/>
    <n v="5"/>
    <x v="0"/>
    <s v="No"/>
    <x v="1"/>
    <s v="No"/>
    <n v="0"/>
    <n v="1"/>
    <n v="4"/>
  </r>
  <r>
    <n v="3452"/>
    <s v="Joana Silveira"/>
    <x v="0"/>
    <d v="2024-10-04T00:00:00"/>
    <x v="0"/>
    <n v="15"/>
    <x v="2"/>
    <s v="Yes"/>
    <x v="0"/>
    <s v="Yes"/>
    <n v="20"/>
    <n v="7"/>
    <n v="58"/>
  </r>
  <r>
    <n v="3453"/>
    <s v="Kléber Oliveira"/>
    <x v="2"/>
    <d v="2024-10-05T00:00:00"/>
    <x v="1"/>
    <n v="10"/>
    <x v="0"/>
    <s v="No"/>
    <x v="1"/>
    <s v="Yes"/>
    <n v="20"/>
    <n v="10"/>
    <n v="20"/>
  </r>
  <r>
    <n v="3454"/>
    <s v="Luciana Morais"/>
    <x v="1"/>
    <d v="2024-10-06T00:00:00"/>
    <x v="0"/>
    <n v="5"/>
    <x v="1"/>
    <s v="No"/>
    <x v="1"/>
    <s v="No"/>
    <n v="0"/>
    <n v="0"/>
    <n v="5"/>
  </r>
  <r>
    <n v="3455"/>
    <s v="Marcos Vinícius"/>
    <x v="0"/>
    <d v="2024-10-07T00:00:00"/>
    <x v="1"/>
    <n v="15"/>
    <x v="0"/>
    <s v="Yes"/>
    <x v="0"/>
    <s v="Yes"/>
    <n v="20"/>
    <n v="20"/>
    <n v="45"/>
  </r>
  <r>
    <n v="3456"/>
    <s v="Natália Barros"/>
    <x v="2"/>
    <d v="2024-10-08T00:00:00"/>
    <x v="0"/>
    <n v="10"/>
    <x v="2"/>
    <s v="No"/>
    <x v="1"/>
    <s v="Yes"/>
    <n v="20"/>
    <n v="15"/>
    <n v="15"/>
  </r>
  <r>
    <n v="3457"/>
    <s v="Oscar Sampaio"/>
    <x v="1"/>
    <d v="2024-10-09T00:00:00"/>
    <x v="1"/>
    <n v="5"/>
    <x v="0"/>
    <s v="No"/>
    <x v="1"/>
    <s v="No"/>
    <n v="0"/>
    <n v="1"/>
    <n v="4"/>
  </r>
  <r>
    <n v="3458"/>
    <s v="Patrícia Leite"/>
    <x v="0"/>
    <d v="2024-10-10T00:00:00"/>
    <x v="0"/>
    <n v="15"/>
    <x v="1"/>
    <s v="Yes"/>
    <x v="0"/>
    <s v="Yes"/>
    <n v="20"/>
    <n v="3"/>
    <n v="62"/>
  </r>
  <r>
    <n v="3459"/>
    <s v="Quênia Rocha"/>
    <x v="2"/>
    <d v="2024-10-11T00:00:00"/>
    <x v="1"/>
    <n v="10"/>
    <x v="0"/>
    <s v="No"/>
    <x v="1"/>
    <s v="Yes"/>
    <n v="20"/>
    <n v="10"/>
    <n v="20"/>
  </r>
  <r>
    <n v="3460"/>
    <s v="Rafael Torres"/>
    <x v="1"/>
    <d v="2024-10-12T00:00:00"/>
    <x v="0"/>
    <n v="5"/>
    <x v="2"/>
    <s v="No"/>
    <x v="1"/>
    <s v="No"/>
    <n v="0"/>
    <n v="0"/>
    <n v="5"/>
  </r>
  <r>
    <n v="3461"/>
    <s v="Sandra Gouveia"/>
    <x v="0"/>
    <d v="2024-10-13T00:00:00"/>
    <x v="1"/>
    <n v="15"/>
    <x v="0"/>
    <s v="Yes"/>
    <x v="0"/>
    <s v="Yes"/>
    <n v="20"/>
    <n v="15"/>
    <n v="50"/>
  </r>
  <r>
    <n v="3462"/>
    <s v="Tiago Lacerda"/>
    <x v="2"/>
    <d v="2024-10-14T00:00:00"/>
    <x v="0"/>
    <n v="10"/>
    <x v="1"/>
    <s v="No"/>
    <x v="1"/>
    <s v="Yes"/>
    <n v="20"/>
    <n v="15"/>
    <n v="15"/>
  </r>
  <r>
    <n v="3463"/>
    <s v="Ursula Fonseca"/>
    <x v="1"/>
    <d v="2024-10-15T00:00:00"/>
    <x v="1"/>
    <n v="5"/>
    <x v="0"/>
    <s v="No"/>
    <x v="1"/>
    <s v="No"/>
    <n v="0"/>
    <n v="1"/>
    <n v="4"/>
  </r>
  <r>
    <n v="3464"/>
    <s v="Vanessa Andrade"/>
    <x v="0"/>
    <d v="2024-10-16T00:00:00"/>
    <x v="0"/>
    <n v="15"/>
    <x v="2"/>
    <s v="Yes"/>
    <x v="0"/>
    <s v="Yes"/>
    <n v="20"/>
    <n v="7"/>
    <n v="58"/>
  </r>
  <r>
    <n v="3465"/>
    <s v="William Castro"/>
    <x v="2"/>
    <d v="2024-10-17T00:00:00"/>
    <x v="1"/>
    <n v="10"/>
    <x v="0"/>
    <s v="No"/>
    <x v="1"/>
    <s v="Yes"/>
    <n v="20"/>
    <n v="10"/>
    <n v="20"/>
  </r>
  <r>
    <n v="3466"/>
    <s v="Xavier Monteiro"/>
    <x v="1"/>
    <d v="2024-10-18T00:00:00"/>
    <x v="0"/>
    <n v="5"/>
    <x v="1"/>
    <s v="No"/>
    <x v="1"/>
    <s v="No"/>
    <n v="0"/>
    <n v="0"/>
    <n v="5"/>
  </r>
  <r>
    <n v="3467"/>
    <s v="Yasmin Figueira"/>
    <x v="0"/>
    <d v="2024-10-19T00:00:00"/>
    <x v="1"/>
    <n v="15"/>
    <x v="0"/>
    <s v="Yes"/>
    <x v="0"/>
    <s v="Yes"/>
    <n v="20"/>
    <n v="15"/>
    <n v="50"/>
  </r>
  <r>
    <n v="3468"/>
    <s v="Zacarias Mendonça"/>
    <x v="2"/>
    <d v="2024-10-20T00:00:00"/>
    <x v="0"/>
    <n v="10"/>
    <x v="2"/>
    <s v="No"/>
    <x v="1"/>
    <s v="Yes"/>
    <n v="20"/>
    <n v="12"/>
    <n v="18"/>
  </r>
  <r>
    <n v="3469"/>
    <s v="Amanda Menezes"/>
    <x v="1"/>
    <d v="2024-10-21T00:00:00"/>
    <x v="1"/>
    <n v="5"/>
    <x v="0"/>
    <s v="No"/>
    <x v="1"/>
    <s v="No"/>
    <n v="0"/>
    <n v="2"/>
    <n v="3"/>
  </r>
  <r>
    <n v="3470"/>
    <s v="Bruno Santos"/>
    <x v="0"/>
    <d v="2024-10-22T00:00:00"/>
    <x v="0"/>
    <n v="15"/>
    <x v="1"/>
    <s v="Yes"/>
    <x v="0"/>
    <s v="Yes"/>
    <n v="20"/>
    <n v="5"/>
    <n v="60"/>
  </r>
  <r>
    <n v="3471"/>
    <s v="Carla Ferreira"/>
    <x v="2"/>
    <d v="2024-10-23T00:00:00"/>
    <x v="1"/>
    <n v="10"/>
    <x v="0"/>
    <s v="No"/>
    <x v="1"/>
    <s v="Yes"/>
    <n v="20"/>
    <n v="10"/>
    <n v="20"/>
  </r>
  <r>
    <n v="3472"/>
    <s v="Diogo Alves"/>
    <x v="1"/>
    <d v="2024-10-24T00:00:00"/>
    <x v="0"/>
    <n v="5"/>
    <x v="2"/>
    <s v="No"/>
    <x v="1"/>
    <s v="No"/>
    <n v="0"/>
    <n v="0"/>
    <n v="5"/>
  </r>
  <r>
    <n v="3473"/>
    <s v="Elisa Neves"/>
    <x v="0"/>
    <d v="2024-10-25T00:00:00"/>
    <x v="1"/>
    <n v="15"/>
    <x v="0"/>
    <s v="Yes"/>
    <x v="0"/>
    <s v="Yes"/>
    <n v="20"/>
    <n v="3"/>
    <n v="62"/>
  </r>
  <r>
    <n v="3474"/>
    <s v="Fabiano Pires"/>
    <x v="2"/>
    <d v="2024-10-26T00:00:00"/>
    <x v="0"/>
    <n v="10"/>
    <x v="1"/>
    <s v="No"/>
    <x v="1"/>
    <s v="Yes"/>
    <n v="20"/>
    <n v="15"/>
    <n v="15"/>
  </r>
  <r>
    <n v="3475"/>
    <s v="Giovana Ribeiro"/>
    <x v="1"/>
    <d v="2024-10-27T00:00:00"/>
    <x v="1"/>
    <n v="5"/>
    <x v="0"/>
    <s v="No"/>
    <x v="1"/>
    <s v="No"/>
    <n v="0"/>
    <n v="1"/>
    <n v="4"/>
  </r>
  <r>
    <n v="3476"/>
    <s v="Hélio Costa"/>
    <x v="0"/>
    <d v="2024-10-28T00:00:00"/>
    <x v="0"/>
    <n v="15"/>
    <x v="2"/>
    <s v="Yes"/>
    <x v="0"/>
    <s v="Yes"/>
    <n v="20"/>
    <n v="7"/>
    <n v="58"/>
  </r>
  <r>
    <n v="3477"/>
    <s v="Íris Loureiro"/>
    <x v="2"/>
    <d v="2024-10-29T00:00:00"/>
    <x v="1"/>
    <n v="10"/>
    <x v="0"/>
    <s v="No"/>
    <x v="1"/>
    <s v="Yes"/>
    <n v="20"/>
    <n v="10"/>
    <n v="20"/>
  </r>
  <r>
    <n v="3478"/>
    <s v="João Pereira"/>
    <x v="1"/>
    <d v="2024-10-30T00:00:00"/>
    <x v="0"/>
    <n v="5"/>
    <x v="1"/>
    <s v="No"/>
    <x v="1"/>
    <s v="No"/>
    <n v="0"/>
    <n v="0"/>
    <n v="5"/>
  </r>
  <r>
    <n v="3479"/>
    <s v="Klara Silva"/>
    <x v="0"/>
    <d v="2024-10-31T00:00:00"/>
    <x v="1"/>
    <n v="15"/>
    <x v="0"/>
    <s v="Yes"/>
    <x v="0"/>
    <s v="Yes"/>
    <n v="20"/>
    <n v="20"/>
    <n v="45"/>
  </r>
  <r>
    <n v="3480"/>
    <s v="Luciana Barros"/>
    <x v="2"/>
    <d v="2024-11-01T00:00:00"/>
    <x v="0"/>
    <n v="10"/>
    <x v="2"/>
    <s v="No"/>
    <x v="1"/>
    <s v="Yes"/>
    <n v="20"/>
    <n v="15"/>
    <n v="15"/>
  </r>
  <r>
    <n v="3481"/>
    <s v="Marcos Gomes"/>
    <x v="1"/>
    <d v="2024-11-02T00:00:00"/>
    <x v="1"/>
    <n v="5"/>
    <x v="0"/>
    <s v="No"/>
    <x v="1"/>
    <s v="No"/>
    <n v="0"/>
    <n v="1"/>
    <n v="4"/>
  </r>
  <r>
    <n v="3482"/>
    <s v="Natália Soares"/>
    <x v="0"/>
    <d v="2024-11-03T00:00:00"/>
    <x v="0"/>
    <n v="15"/>
    <x v="1"/>
    <s v="Yes"/>
    <x v="0"/>
    <s v="Yes"/>
    <n v="20"/>
    <n v="3"/>
    <n v="62"/>
  </r>
  <r>
    <n v="3483"/>
    <s v="Oscar Machado"/>
    <x v="2"/>
    <d v="2024-11-04T00:00:00"/>
    <x v="1"/>
    <n v="10"/>
    <x v="0"/>
    <s v="No"/>
    <x v="1"/>
    <s v="Yes"/>
    <n v="20"/>
    <n v="10"/>
    <n v="20"/>
  </r>
  <r>
    <n v="3484"/>
    <s v="Patrícia Lima"/>
    <x v="1"/>
    <d v="2024-11-05T00:00:00"/>
    <x v="0"/>
    <n v="5"/>
    <x v="2"/>
    <s v="No"/>
    <x v="1"/>
    <s v="No"/>
    <n v="0"/>
    <n v="0"/>
    <n v="5"/>
  </r>
  <r>
    <n v="3485"/>
    <s v="Quirino Neto"/>
    <x v="0"/>
    <d v="2024-11-06T00:00:00"/>
    <x v="1"/>
    <n v="15"/>
    <x v="0"/>
    <s v="Yes"/>
    <x v="0"/>
    <s v="Yes"/>
    <n v="20"/>
    <n v="15"/>
    <n v="50"/>
  </r>
  <r>
    <n v="3486"/>
    <s v="Rafaela Souza"/>
    <x v="1"/>
    <d v="2024-11-07T00:00:00"/>
    <x v="0"/>
    <n v="5"/>
    <x v="0"/>
    <s v="No"/>
    <x v="1"/>
    <s v="No"/>
    <n v="0"/>
    <n v="0"/>
    <n v="5"/>
  </r>
  <r>
    <n v="3487"/>
    <s v="Sandro Almeida"/>
    <x v="0"/>
    <d v="2024-11-08T00:00:00"/>
    <x v="1"/>
    <n v="15"/>
    <x v="2"/>
    <s v="Yes"/>
    <x v="0"/>
    <s v="Yes"/>
    <n v="20"/>
    <n v="7"/>
    <n v="58"/>
  </r>
  <r>
    <n v="3488"/>
    <s v="Tânia Ribeiro"/>
    <x v="2"/>
    <d v="2024-11-09T00:00:00"/>
    <x v="0"/>
    <n v="10"/>
    <x v="1"/>
    <s v="No"/>
    <x v="1"/>
    <s v="Yes"/>
    <n v="20"/>
    <n v="10"/>
    <n v="20"/>
  </r>
  <r>
    <n v="3489"/>
    <s v="Ugo Dias"/>
    <x v="1"/>
    <d v="2024-11-10T00:00:00"/>
    <x v="1"/>
    <n v="5"/>
    <x v="2"/>
    <s v="No"/>
    <x v="1"/>
    <s v="No"/>
    <n v="0"/>
    <n v="1"/>
    <n v="4"/>
  </r>
  <r>
    <n v="3490"/>
    <s v="Valéria Lima"/>
    <x v="0"/>
    <d v="2024-11-11T00:00:00"/>
    <x v="0"/>
    <n v="15"/>
    <x v="0"/>
    <s v="Yes"/>
    <x v="0"/>
    <s v="Yes"/>
    <n v="20"/>
    <n v="15"/>
    <n v="50"/>
  </r>
  <r>
    <n v="3491"/>
    <s v="William Fernandes"/>
    <x v="2"/>
    <d v="2024-11-12T00:00:00"/>
    <x v="1"/>
    <n v="10"/>
    <x v="0"/>
    <s v="No"/>
    <x v="1"/>
    <s v="Yes"/>
    <n v="20"/>
    <n v="5"/>
    <n v="25"/>
  </r>
  <r>
    <n v="3492"/>
    <s v="Xuxa Mendes"/>
    <x v="1"/>
    <d v="2024-11-13T00:00:00"/>
    <x v="0"/>
    <n v="5"/>
    <x v="1"/>
    <s v="No"/>
    <x v="1"/>
    <s v="No"/>
    <n v="0"/>
    <n v="0"/>
    <n v="5"/>
  </r>
  <r>
    <n v="3493"/>
    <s v="Ygor Farias"/>
    <x v="0"/>
    <d v="2024-11-14T00:00:00"/>
    <x v="1"/>
    <n v="15"/>
    <x v="2"/>
    <s v="Yes"/>
    <x v="0"/>
    <s v="Yes"/>
    <n v="20"/>
    <n v="20"/>
    <n v="45"/>
  </r>
  <r>
    <n v="3494"/>
    <s v="Zilda Barros"/>
    <x v="2"/>
    <d v="2024-11-15T00:00:00"/>
    <x v="0"/>
    <n v="10"/>
    <x v="2"/>
    <s v="No"/>
    <x v="1"/>
    <s v="Yes"/>
    <n v="20"/>
    <n v="12"/>
    <n v="18"/>
  </r>
  <r>
    <n v="3495"/>
    <s v="Amanda Santos"/>
    <x v="1"/>
    <d v="2024-11-16T00:00:00"/>
    <x v="1"/>
    <n v="5"/>
    <x v="0"/>
    <s v="No"/>
    <x v="1"/>
    <s v="No"/>
    <n v="0"/>
    <n v="2"/>
    <n v="3"/>
  </r>
  <r>
    <n v="3496"/>
    <s v="Bruno Costa"/>
    <x v="0"/>
    <d v="2024-11-17T00:00:00"/>
    <x v="0"/>
    <n v="15"/>
    <x v="1"/>
    <s v="Yes"/>
    <x v="0"/>
    <s v="Yes"/>
    <n v="20"/>
    <n v="5"/>
    <n v="60"/>
  </r>
  <r>
    <n v="3497"/>
    <s v="Carla Rodrigues"/>
    <x v="2"/>
    <d v="2024-11-18T00:00:00"/>
    <x v="1"/>
    <n v="10"/>
    <x v="0"/>
    <s v="No"/>
    <x v="1"/>
    <s v="Yes"/>
    <n v="20"/>
    <n v="10"/>
    <n v="20"/>
  </r>
  <r>
    <n v="3498"/>
    <s v="Diogo Pereira"/>
    <x v="1"/>
    <d v="2024-11-19T00:00:00"/>
    <x v="0"/>
    <n v="5"/>
    <x v="2"/>
    <s v="No"/>
    <x v="1"/>
    <s v="No"/>
    <n v="0"/>
    <n v="0"/>
    <n v="5"/>
  </r>
  <r>
    <n v="3499"/>
    <s v="Elisa Correia"/>
    <x v="0"/>
    <d v="2024-11-20T00:00:00"/>
    <x v="1"/>
    <n v="15"/>
    <x v="0"/>
    <s v="Yes"/>
    <x v="0"/>
    <s v="Yes"/>
    <n v="20"/>
    <n v="3"/>
    <n v="62"/>
  </r>
  <r>
    <n v="3500"/>
    <s v="Fábio Lourenço"/>
    <x v="2"/>
    <d v="2024-11-21T00:00:00"/>
    <x v="0"/>
    <n v="10"/>
    <x v="1"/>
    <s v="No"/>
    <x v="1"/>
    <s v="Yes"/>
    <n v="20"/>
    <n v="15"/>
    <n v="15"/>
  </r>
  <r>
    <n v="3501"/>
    <s v="Gabriela Neves"/>
    <x v="1"/>
    <d v="2024-11-22T00:00:00"/>
    <x v="1"/>
    <n v="5"/>
    <x v="0"/>
    <s v="No"/>
    <x v="1"/>
    <s v="No"/>
    <n v="0"/>
    <n v="1"/>
    <n v="4"/>
  </r>
  <r>
    <n v="3502"/>
    <s v="Henrique Gonçalves"/>
    <x v="0"/>
    <d v="2024-11-23T00:00:00"/>
    <x v="0"/>
    <n v="15"/>
    <x v="2"/>
    <s v="Yes"/>
    <x v="0"/>
    <s v="Yes"/>
    <n v="20"/>
    <n v="7"/>
    <n v="58"/>
  </r>
  <r>
    <n v="3503"/>
    <s v="Íris Santos"/>
    <x v="2"/>
    <d v="2024-11-24T00:00:00"/>
    <x v="1"/>
    <n v="10"/>
    <x v="0"/>
    <s v="No"/>
    <x v="1"/>
    <s v="Yes"/>
    <n v="20"/>
    <n v="10"/>
    <n v="20"/>
  </r>
  <r>
    <n v="3504"/>
    <s v="João Marcelo Alves"/>
    <x v="1"/>
    <d v="2024-11-25T00:00:00"/>
    <x v="0"/>
    <n v="5"/>
    <x v="1"/>
    <s v="No"/>
    <x v="1"/>
    <s v="No"/>
    <n v="0"/>
    <n v="0"/>
    <n v="5"/>
  </r>
  <r>
    <n v="3505"/>
    <s v="Klara Fonseca"/>
    <x v="0"/>
    <d v="2024-11-26T00:00:00"/>
    <x v="1"/>
    <n v="15"/>
    <x v="0"/>
    <s v="Yes"/>
    <x v="0"/>
    <s v="Yes"/>
    <n v="20"/>
    <n v="20"/>
    <n v="45"/>
  </r>
  <r>
    <n v="3506"/>
    <s v="Lucas Mendonça"/>
    <x v="2"/>
    <d v="2024-11-27T00:00:00"/>
    <x v="0"/>
    <n v="10"/>
    <x v="2"/>
    <s v="No"/>
    <x v="1"/>
    <s v="Yes"/>
    <n v="20"/>
    <n v="15"/>
    <n v="15"/>
  </r>
  <r>
    <n v="3507"/>
    <s v="Marcela Torres"/>
    <x v="1"/>
    <d v="2024-11-28T00:00:00"/>
    <x v="1"/>
    <n v="5"/>
    <x v="0"/>
    <s v="No"/>
    <x v="1"/>
    <s v="No"/>
    <n v="0"/>
    <n v="1"/>
    <n v="4"/>
  </r>
  <r>
    <n v="3508"/>
    <s v="Natália Castro"/>
    <x v="0"/>
    <d v="2024-11-29T00:00:00"/>
    <x v="0"/>
    <n v="15"/>
    <x v="1"/>
    <s v="Yes"/>
    <x v="0"/>
    <s v="Yes"/>
    <n v="20"/>
    <n v="3"/>
    <n v="62"/>
  </r>
  <r>
    <n v="3509"/>
    <s v="Oscar Martins"/>
    <x v="2"/>
    <d v="2024-11-30T00:00:00"/>
    <x v="1"/>
    <n v="10"/>
    <x v="0"/>
    <s v="No"/>
    <x v="1"/>
    <s v="Yes"/>
    <n v="20"/>
    <n v="10"/>
    <n v="20"/>
  </r>
  <r>
    <n v="3510"/>
    <s v="Patrícia Oliveira"/>
    <x v="1"/>
    <d v="2024-12-01T00:00:00"/>
    <x v="0"/>
    <n v="5"/>
    <x v="2"/>
    <s v="No"/>
    <x v="1"/>
    <s v="No"/>
    <n v="0"/>
    <n v="0"/>
    <n v="5"/>
  </r>
  <r>
    <n v="3511"/>
    <s v="Quentin Nogueira"/>
    <x v="0"/>
    <d v="2024-12-02T00:00:00"/>
    <x v="1"/>
    <n v="15"/>
    <x v="0"/>
    <s v="Yes"/>
    <x v="0"/>
    <s v="Yes"/>
    <n v="20"/>
    <n v="15"/>
    <n v="50"/>
  </r>
  <r>
    <n v="3512"/>
    <s v="Raquel Silva"/>
    <x v="2"/>
    <d v="2024-12-03T00:00:00"/>
    <x v="0"/>
    <n v="10"/>
    <x v="1"/>
    <s v="No"/>
    <x v="1"/>
    <s v="Yes"/>
    <n v="20"/>
    <n v="15"/>
    <n v="15"/>
  </r>
  <r>
    <n v="3513"/>
    <s v="Sandro Gomes"/>
    <x v="1"/>
    <d v="2024-12-04T00:00:00"/>
    <x v="1"/>
    <n v="5"/>
    <x v="0"/>
    <s v="No"/>
    <x v="1"/>
    <s v="No"/>
    <n v="0"/>
    <n v="1"/>
    <n v="4"/>
  </r>
  <r>
    <n v="3514"/>
    <s v="Tânia Machado"/>
    <x v="0"/>
    <d v="2024-12-05T00:00:00"/>
    <x v="0"/>
    <n v="15"/>
    <x v="2"/>
    <s v="Yes"/>
    <x v="0"/>
    <s v="Yes"/>
    <n v="20"/>
    <n v="7"/>
    <n v="58"/>
  </r>
  <r>
    <n v="3515"/>
    <s v="Ursula Silva"/>
    <x v="2"/>
    <d v="2024-12-06T00:00:00"/>
    <x v="1"/>
    <n v="10"/>
    <x v="0"/>
    <s v="No"/>
    <x v="1"/>
    <s v="Yes"/>
    <n v="20"/>
    <n v="10"/>
    <n v="20"/>
  </r>
  <r>
    <n v="3516"/>
    <s v="Vanessa Moraes"/>
    <x v="1"/>
    <d v="2024-12-07T00:00:00"/>
    <x v="0"/>
    <n v="5"/>
    <x v="1"/>
    <s v="No"/>
    <x v="1"/>
    <s v="No"/>
    <n v="0"/>
    <n v="0"/>
    <n v="5"/>
  </r>
  <r>
    <n v="3517"/>
    <s v="William Carvalho"/>
    <x v="0"/>
    <d v="2024-12-08T00:00:00"/>
    <x v="1"/>
    <n v="15"/>
    <x v="0"/>
    <s v="Yes"/>
    <x v="0"/>
    <s v="Yes"/>
    <n v="20"/>
    <n v="20"/>
    <n v="45"/>
  </r>
  <r>
    <n v="3518"/>
    <s v="Xavier Reis"/>
    <x v="2"/>
    <d v="2024-12-09T00:00:00"/>
    <x v="0"/>
    <n v="10"/>
    <x v="2"/>
    <s v="No"/>
    <x v="1"/>
    <s v="Yes"/>
    <n v="20"/>
    <n v="12"/>
    <n v="18"/>
  </r>
  <r>
    <n v="3519"/>
    <s v="Yasmin Rocha"/>
    <x v="1"/>
    <d v="2024-12-10T00:00:00"/>
    <x v="1"/>
    <n v="5"/>
    <x v="0"/>
    <s v="No"/>
    <x v="1"/>
    <s v="No"/>
    <n v="0"/>
    <n v="2"/>
    <n v="3"/>
  </r>
  <r>
    <n v="3520"/>
    <s v="Zacarias Duarte"/>
    <x v="0"/>
    <d v="2024-12-11T00:00:00"/>
    <x v="0"/>
    <n v="15"/>
    <x v="1"/>
    <s v="Yes"/>
    <x v="0"/>
    <s v="Yes"/>
    <n v="20"/>
    <n v="5"/>
    <n v="60"/>
  </r>
  <r>
    <n v="3521"/>
    <s v="Amanda Freitas"/>
    <x v="2"/>
    <d v="2024-12-12T00:00:00"/>
    <x v="1"/>
    <n v="10"/>
    <x v="0"/>
    <s v="No"/>
    <x v="1"/>
    <s v="Yes"/>
    <n v="20"/>
    <n v="10"/>
    <n v="20"/>
  </r>
  <r>
    <n v="3522"/>
    <s v="Bruno Almeida"/>
    <x v="1"/>
    <d v="2024-12-13T00:00:00"/>
    <x v="0"/>
    <n v="5"/>
    <x v="2"/>
    <s v="No"/>
    <x v="1"/>
    <s v="No"/>
    <n v="0"/>
    <n v="0"/>
    <n v="5"/>
  </r>
  <r>
    <n v="3523"/>
    <s v="Carla Siqueira"/>
    <x v="0"/>
    <d v="2024-12-14T00:00:00"/>
    <x v="1"/>
    <n v="15"/>
    <x v="0"/>
    <s v="Yes"/>
    <x v="0"/>
    <s v="Yes"/>
    <n v="20"/>
    <n v="3"/>
    <n v="62"/>
  </r>
  <r>
    <n v="3524"/>
    <s v="Diogo Ramos"/>
    <x v="2"/>
    <d v="2024-12-15T00:00:00"/>
    <x v="0"/>
    <n v="10"/>
    <x v="1"/>
    <s v="No"/>
    <x v="1"/>
    <s v="Yes"/>
    <n v="20"/>
    <n v="15"/>
    <n v="15"/>
  </r>
  <r>
    <n v="3525"/>
    <s v="Elisa Magalhães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3" cacheId="5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bl_easeasonpass_1" cacheId="5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5">
  <location ref="B12:C16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bl_annual_total" cacheId="5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5">
  <location ref="B4:C7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ubscription_Type" sourceName="Subscription Type">
  <pivotTables>
    <pivotTable tabId="3" name="Tbl_annual_total"/>
    <pivotTable tabId="3" name="Tbl_easeasonpass_1"/>
    <pivotTable tabId="3" name="Tabela dinâmica3"/>
  </pivotTables>
  <data>
    <tabular pivotCacheId="1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ubscription Type" cache="SegmentaçãodeDados_Subscription_Type" caption="Subscription Type" style="SlicerStyleLight6 2" rowHeight="241300"/>
</slicers>
</file>

<file path=xl/tables/table1.xml><?xml version="1.0" encoding="utf-8"?>
<table xmlns="http://schemas.openxmlformats.org/spreadsheetml/2006/main" id="1" name="Tabela1" displayName="Tabela1" ref="A1:M296" totalsRowShown="0" dataDxfId="15">
  <autoFilter ref="A1:M296">
    <filterColumn colId="7">
      <filters>
        <filter val="Yes"/>
      </filters>
    </filterColumn>
  </autoFilter>
  <tableColumns count="13">
    <tableColumn id="1" name="Subscriber ID" dataDxfId="14"/>
    <tableColumn id="2" name="Name" dataDxfId="13"/>
    <tableColumn id="3" name="Plan" dataDxfId="12"/>
    <tableColumn id="4" name="Start Date" dataDxfId="11"/>
    <tableColumn id="5" name="Auto Renewal" dataDxfId="10"/>
    <tableColumn id="6" name="Subscription Price" dataDxfId="9" dataCellStyle="Moeda"/>
    <tableColumn id="7" name="Subscription Type" dataDxfId="8"/>
    <tableColumn id="8" name="EA Play Season Pass" dataDxfId="7"/>
    <tableColumn id="13" name="EA Play Season Pass_x000a_Price" dataDxfId="6" dataCellStyle="Moeda"/>
    <tableColumn id="9" name="Minecraft Season Pass" dataDxfId="5"/>
    <tableColumn id="10" name="Minecraft Season Pass Price" dataDxfId="4" dataCellStyle="Moeda"/>
    <tableColumn id="11" name="Coupon Value" dataDxfId="3" dataCellStyle="Moeda"/>
    <tableColumn id="12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3:P21"/>
  <sheetViews>
    <sheetView showGridLines="0" topLeftCell="A13" zoomScaleNormal="100" workbookViewId="0">
      <selection activeCell="C30" sqref="C30"/>
    </sheetView>
  </sheetViews>
  <sheetFormatPr defaultRowHeight="14.25"/>
  <cols>
    <col min="9" max="9" width="3.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25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A1:M296"/>
  <sheetViews>
    <sheetView topLeftCell="A276" zoomScale="90" zoomScaleNormal="90" workbookViewId="0">
      <selection activeCell="C30" sqref="C30"/>
    </sheetView>
  </sheetViews>
  <sheetFormatPr defaultRowHeight="14.25"/>
  <cols>
    <col min="1" max="1" width="17.875" bestFit="1" customWidth="1"/>
    <col min="2" max="2" width="18.875" bestFit="1" customWidth="1"/>
    <col min="3" max="3" width="9.375" bestFit="1" customWidth="1"/>
    <col min="4" max="4" width="14.625" bestFit="1" customWidth="1"/>
    <col min="5" max="5" width="18" bestFit="1" customWidth="1"/>
    <col min="6" max="6" width="14.75" bestFit="1" customWidth="1"/>
    <col min="7" max="7" width="22" bestFit="1" customWidth="1"/>
    <col min="8" max="8" width="20.625" bestFit="1" customWidth="1"/>
    <col min="9" max="9" width="20.625" customWidth="1"/>
    <col min="10" max="10" width="16.75" bestFit="1" customWidth="1"/>
    <col min="11" max="11" width="21.25" bestFit="1" customWidth="1"/>
    <col min="12" max="12" width="12.75" bestFit="1" customWidth="1"/>
    <col min="13" max="13" width="10.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49992370372631"/>
  </sheetPr>
  <dimension ref="B2:E25"/>
  <sheetViews>
    <sheetView showGridLines="0" topLeftCell="A4" workbookViewId="0">
      <selection activeCell="C30" sqref="C30"/>
    </sheetView>
  </sheetViews>
  <sheetFormatPr defaultRowHeight="14.25"/>
  <cols>
    <col min="2" max="2" width="18" customWidth="1"/>
    <col min="3" max="3" width="35.125" customWidth="1"/>
    <col min="4" max="4" width="25.875" customWidth="1"/>
    <col min="5" max="5" width="6.25" customWidth="1"/>
    <col min="6" max="6" width="19.125" bestFit="1" customWidth="1"/>
    <col min="7" max="7" width="27.75" bestFit="1" customWidth="1"/>
    <col min="8" max="8" width="5.375" customWidth="1"/>
    <col min="9" max="9" width="21.125" bestFit="1" customWidth="1"/>
    <col min="10" max="11" width="35.125" bestFit="1" customWidth="1"/>
    <col min="12" max="15" width="9.75" bestFit="1" customWidth="1"/>
    <col min="16" max="16" width="15.625" bestFit="1" customWidth="1"/>
    <col min="17" max="17" width="12.125" bestFit="1" customWidth="1"/>
  </cols>
  <sheetData>
    <row r="2" spans="2:5">
      <c r="B2" s="13" t="s">
        <v>16</v>
      </c>
      <c r="C2" t="s">
        <v>27</v>
      </c>
    </row>
    <row r="4" spans="2:5">
      <c r="B4" s="13" t="s">
        <v>314</v>
      </c>
      <c r="C4" t="s">
        <v>313</v>
      </c>
    </row>
    <row r="5" spans="2:5">
      <c r="B5" s="14" t="s">
        <v>23</v>
      </c>
      <c r="C5" s="12">
        <v>806</v>
      </c>
    </row>
    <row r="6" spans="2:5">
      <c r="B6" s="14" t="s">
        <v>19</v>
      </c>
      <c r="C6" s="12">
        <v>1502</v>
      </c>
    </row>
    <row r="7" spans="2:5">
      <c r="B7" s="14" t="s">
        <v>315</v>
      </c>
      <c r="C7" s="12">
        <v>2308</v>
      </c>
    </row>
    <row r="10" spans="2:5">
      <c r="B10" s="13" t="s">
        <v>16</v>
      </c>
      <c r="C10" t="s">
        <v>27</v>
      </c>
    </row>
    <row r="12" spans="2:5">
      <c r="B12" s="13" t="s">
        <v>314</v>
      </c>
      <c r="C12" t="s">
        <v>317</v>
      </c>
    </row>
    <row r="13" spans="2:5">
      <c r="B13" s="14" t="s">
        <v>22</v>
      </c>
      <c r="C13" s="12">
        <v>0</v>
      </c>
    </row>
    <row r="14" spans="2:5">
      <c r="B14" s="14" t="s">
        <v>26</v>
      </c>
      <c r="C14" s="12">
        <v>0</v>
      </c>
    </row>
    <row r="15" spans="2:5">
      <c r="B15" s="14" t="s">
        <v>18</v>
      </c>
      <c r="C15" s="12">
        <v>990</v>
      </c>
    </row>
    <row r="16" spans="2:5">
      <c r="B16" s="14" t="s">
        <v>315</v>
      </c>
      <c r="C16" s="12">
        <v>990</v>
      </c>
      <c r="E16">
        <f>GETPIVOTDATA("EA Play Season Pass
Price",$B$12)</f>
        <v>990</v>
      </c>
    </row>
    <row r="19" spans="2:5">
      <c r="B19" s="13" t="s">
        <v>16</v>
      </c>
      <c r="C19" t="s">
        <v>27</v>
      </c>
    </row>
    <row r="21" spans="2:5">
      <c r="B21" s="13" t="s">
        <v>314</v>
      </c>
      <c r="C21" t="s">
        <v>318</v>
      </c>
    </row>
    <row r="22" spans="2:5">
      <c r="B22" s="14" t="s">
        <v>22</v>
      </c>
      <c r="C22" s="12">
        <v>0</v>
      </c>
    </row>
    <row r="23" spans="2:5">
      <c r="B23" s="14" t="s">
        <v>26</v>
      </c>
      <c r="C23" s="12">
        <v>480</v>
      </c>
    </row>
    <row r="24" spans="2:5">
      <c r="B24" s="14" t="s">
        <v>18</v>
      </c>
      <c r="C24" s="12">
        <v>660</v>
      </c>
    </row>
    <row r="25" spans="2:5">
      <c r="B25" s="14" t="s">
        <v>315</v>
      </c>
      <c r="C25" s="12">
        <v>1140</v>
      </c>
      <c r="E25">
        <f>GETPIVOTDATA("Minecraft Season Pass Price",$B$21,"Plan","Ultimate")</f>
        <v>660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showGridLines="0" showRowColHeaders="0" tabSelected="1" topLeftCell="A10" zoomScale="80" zoomScaleNormal="80" workbookViewId="0">
      <selection activeCell="C4" sqref="C4"/>
    </sheetView>
  </sheetViews>
  <sheetFormatPr defaultRowHeight="14.25"/>
  <cols>
    <col min="1" max="1" width="24.625" style="5" customWidth="1"/>
    <col min="2" max="2" width="3.625" style="7" customWidth="1"/>
    <col min="3" max="11" width="9" style="7"/>
    <col min="12" max="12" width="6.625" style="7" customWidth="1"/>
    <col min="13" max="16384" width="9" style="7"/>
  </cols>
  <sheetData>
    <row r="1" spans="1:12" customFormat="1">
      <c r="A1" s="5"/>
    </row>
    <row r="2" spans="1:12" customFormat="1" ht="45" customHeight="1" thickBot="1">
      <c r="A2" s="5"/>
      <c r="C2" s="18" t="s">
        <v>316</v>
      </c>
      <c r="D2" s="16"/>
      <c r="E2" s="16"/>
      <c r="F2" s="16"/>
      <c r="G2" s="16"/>
      <c r="H2" s="16"/>
      <c r="I2" s="17"/>
      <c r="J2" s="17"/>
      <c r="K2" s="17"/>
      <c r="L2" s="17"/>
    </row>
    <row r="3" spans="1:12" s="15" customFormat="1" ht="39" customHeight="1" thickTop="1">
      <c r="A3" s="5"/>
    </row>
    <row r="4" spans="1:12" ht="8.25" customHeight="1"/>
    <row r="5" spans="1:12" ht="7.5" customHeight="1"/>
    <row r="6" spans="1:12" ht="10.5" customHeight="1"/>
    <row r="7" spans="1:12" ht="9.75" customHeight="1"/>
    <row r="8" spans="1:12" ht="33" customHeight="1"/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infopath/2007/PartnerControls"/>
    <ds:schemaRef ds:uri="http://purl.org/dc/terms/"/>
    <ds:schemaRef ds:uri="http://purl.org/dc/dcmitype/"/>
    <ds:schemaRef ds:uri="http://schemas.microsoft.com/office/2006/metadata/properties"/>
    <ds:schemaRef ds:uri="851b35d3-0456-4d6a-bc2f-da927e91d158"/>
    <ds:schemaRef ds:uri="http://schemas.microsoft.com/office/2006/documentManagement/types"/>
    <ds:schemaRef ds:uri="http://www.w3.org/XML/1998/namespace"/>
    <ds:schemaRef ds:uri="http://purl.org/dc/elements/1.1/"/>
    <ds:schemaRef ds:uri="http://schemas.openxmlformats.org/package/2006/metadata/core-properties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Rafaela</cp:lastModifiedBy>
  <dcterms:created xsi:type="dcterms:W3CDTF">2024-12-19T13:13:10Z</dcterms:created>
  <dcterms:modified xsi:type="dcterms:W3CDTF">2025-11-01T23:21:13Z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